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xr:revisionPtr revIDLastSave="0" documentId="8_{EB13A8A2-1D1A-4CC9-9A66-031268FF6B62}" xr6:coauthVersionLast="47" xr6:coauthVersionMax="47" xr10:uidLastSave="{00000000-0000-0000-0000-000000000000}"/>
  <bookViews>
    <workbookView xWindow="-110" yWindow="-110" windowWidth="19420" windowHeight="11500" tabRatio="675" xr2:uid="{00000000-000D-0000-FFFF-FFFF00000000}"/>
  </bookViews>
  <sheets>
    <sheet name="Scenario 1" sheetId="11" r:id="rId1"/>
    <sheet name="Scenario 2" sheetId="12" r:id="rId2"/>
    <sheet name="Scenario 3" sheetId="13" r:id="rId3"/>
    <sheet name="Scenario chase" sheetId="14" r:id="rId4"/>
    <sheet name="Scenario X" sheetId="15" r:id="rId5"/>
  </sheets>
  <definedNames>
    <definedName name="solver_adj" localSheetId="0" hidden="1">'Scenario 1'!$E$23:$J$34</definedName>
    <definedName name="solver_adj" localSheetId="1" hidden="1">'Scenario 2'!$E$23:$J$34</definedName>
    <definedName name="solver_adj" localSheetId="2" hidden="1">'Scenario 3'!$E$23:$J$34</definedName>
    <definedName name="solver_adj" localSheetId="3" hidden="1">'Scenario chase'!$E$23:$J$34</definedName>
    <definedName name="solver_adj" localSheetId="4" hidden="1">'Scenario X'!$E$23:$J$34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0" hidden="1">'Scenario 1'!$C$34</definedName>
    <definedName name="solver_lhs1" localSheetId="1" hidden="1">'Scenario 2'!$C$34</definedName>
    <definedName name="solver_lhs1" localSheetId="2" hidden="1">'Scenario 3'!$C$34</definedName>
    <definedName name="solver_lhs1" localSheetId="3" hidden="1">'Scenario chase'!$C$34</definedName>
    <definedName name="solver_lhs1" localSheetId="4" hidden="1">'Scenario X'!$C$34</definedName>
    <definedName name="solver_lhs2" localSheetId="0" hidden="1">'Scenario 1'!$D$34</definedName>
    <definedName name="solver_lhs2" localSheetId="1" hidden="1">'Scenario 2'!$D$34</definedName>
    <definedName name="solver_lhs2" localSheetId="2" hidden="1">'Scenario 3'!$D$34</definedName>
    <definedName name="solver_lhs2" localSheetId="3" hidden="1">'Scenario chase'!$D$34</definedName>
    <definedName name="solver_lhs2" localSheetId="4" hidden="1">'Scenario X'!$D$34</definedName>
    <definedName name="solver_lhs3" localSheetId="0" hidden="1">'Scenario 1'!$D$34</definedName>
    <definedName name="solver_lhs3" localSheetId="1" hidden="1">'Scenario 2'!$D$34</definedName>
    <definedName name="solver_lhs3" localSheetId="2" hidden="1">'Scenario 3'!$D$34</definedName>
    <definedName name="solver_lhs3" localSheetId="3" hidden="1">'Scenario chase'!$D$34</definedName>
    <definedName name="solver_lhs3" localSheetId="4" hidden="1">'Scenario X'!$D$34</definedName>
    <definedName name="solver_lhs4" localSheetId="0" hidden="1">'Scenario 1'!$E$23:$J$34</definedName>
    <definedName name="solver_lhs4" localSheetId="1" hidden="1">'Scenario 2'!$E$23:$J$34</definedName>
    <definedName name="solver_lhs4" localSheetId="2" hidden="1">'Scenario 3'!$E$23:$J$34</definedName>
    <definedName name="solver_lhs4" localSheetId="3" hidden="1">'Scenario chase'!$E$23:$J$34</definedName>
    <definedName name="solver_lhs4" localSheetId="4" hidden="1">'Scenario X'!$E$23:$J$34</definedName>
    <definedName name="solver_lhs5" localSheetId="0" hidden="1">'Scenario 1'!$G$23:$G$34</definedName>
    <definedName name="solver_lhs5" localSheetId="1" hidden="1">'Scenario 2'!$G$23:$G$34</definedName>
    <definedName name="solver_lhs5" localSheetId="2" hidden="1">'Scenario 3'!$G$23:$G$34</definedName>
    <definedName name="solver_lhs5" localSheetId="3" hidden="1">'Scenario chase'!$G$23:$G$34</definedName>
    <definedName name="solver_lhs5" localSheetId="4" hidden="1">'Scenario X'!$G$23:$G$34</definedName>
    <definedName name="solver_lhs6" localSheetId="0" hidden="1">'Scenario 1'!$H$34</definedName>
    <definedName name="solver_lhs6" localSheetId="1" hidden="1">'Scenario 2'!$H$34</definedName>
    <definedName name="solver_lhs6" localSheetId="2" hidden="1">'Scenario 3'!$H$34</definedName>
    <definedName name="solver_lhs6" localSheetId="3" hidden="1">'Scenario chase'!$H$34</definedName>
    <definedName name="solver_lhs6" localSheetId="4" hidden="1">'Scenario X'!$H$34</definedName>
    <definedName name="solver_lhs7" localSheetId="0" hidden="1">'Scenario 1'!$I$23:$I$34</definedName>
    <definedName name="solver_lhs7" localSheetId="1" hidden="1">'Scenario 2'!$I$23:$I$34</definedName>
    <definedName name="solver_lhs7" localSheetId="2" hidden="1">'Scenario 3'!$I$23:$I$34</definedName>
    <definedName name="solver_lhs7" localSheetId="3" hidden="1">'Scenario chase'!$I$23:$I$34</definedName>
    <definedName name="solver_lhs7" localSheetId="4" hidden="1">'Scenario X'!$I$23:$I$34</definedName>
    <definedName name="solver_lhs8" localSheetId="0" hidden="1">'Scenario 1'!$K$23:$K$34</definedName>
    <definedName name="solver_lhs8" localSheetId="1" hidden="1">'Scenario 2'!$K$23:$K$34</definedName>
    <definedName name="solver_lhs8" localSheetId="2" hidden="1">'Scenario 3'!$K$23:$K$34</definedName>
    <definedName name="solver_lhs8" localSheetId="3" hidden="1">'Scenario chase'!$K$23:$K$34</definedName>
    <definedName name="solver_lhs8" localSheetId="4" hidden="1">'Scenario X'!$K$23:$K$34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lin" localSheetId="4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8</definedName>
    <definedName name="solver_num" localSheetId="1" hidden="1">8</definedName>
    <definedName name="solver_num" localSheetId="2" hidden="1">8</definedName>
    <definedName name="solver_num" localSheetId="3" hidden="1">8</definedName>
    <definedName name="solver_num" localSheetId="4" hidden="1">8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'Scenario 1'!$C$2</definedName>
    <definedName name="solver_opt" localSheetId="1" hidden="1">'Scenario 2'!$C$2</definedName>
    <definedName name="solver_opt" localSheetId="2" hidden="1">'Scenario 3'!$C$2</definedName>
    <definedName name="solver_opt" localSheetId="3" hidden="1">'Scenario chase'!$C$2</definedName>
    <definedName name="solver_opt" localSheetId="4" hidden="1">'Scenario X'!$C$2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el1" localSheetId="0" hidden="1">3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3" localSheetId="0" hidden="1">3</definedName>
    <definedName name="solver_rel3" localSheetId="1" hidden="1">3</definedName>
    <definedName name="solver_rel3" localSheetId="2" hidden="1">3</definedName>
    <definedName name="solver_rel3" localSheetId="3" hidden="1">3</definedName>
    <definedName name="solver_rel3" localSheetId="4" hidden="1">3</definedName>
    <definedName name="solver_rel4" localSheetId="0" hidden="1">4</definedName>
    <definedName name="solver_rel4" localSheetId="1" hidden="1">4</definedName>
    <definedName name="solver_rel4" localSheetId="2" hidden="1">4</definedName>
    <definedName name="solver_rel4" localSheetId="3" hidden="1">4</definedName>
    <definedName name="solver_rel4" localSheetId="4" hidden="1">4</definedName>
    <definedName name="solver_rel5" localSheetId="0" hidden="1">1</definedName>
    <definedName name="solver_rel5" localSheetId="1" hidden="1">1</definedName>
    <definedName name="solver_rel5" localSheetId="2" hidden="1">1</definedName>
    <definedName name="solver_rel5" localSheetId="3" hidden="1">1</definedName>
    <definedName name="solver_rel5" localSheetId="4" hidden="1">1</definedName>
    <definedName name="solver_rel6" localSheetId="0" hidden="1">1</definedName>
    <definedName name="solver_rel6" localSheetId="1" hidden="1">1</definedName>
    <definedName name="solver_rel6" localSheetId="2" hidden="1">1</definedName>
    <definedName name="solver_rel6" localSheetId="3" hidden="1">1</definedName>
    <definedName name="solver_rel6" localSheetId="4" hidden="1">1</definedName>
    <definedName name="solver_rel7" localSheetId="0" hidden="1">1</definedName>
    <definedName name="solver_rel7" localSheetId="1" hidden="1">1</definedName>
    <definedName name="solver_rel7" localSheetId="2" hidden="1">1</definedName>
    <definedName name="solver_rel7" localSheetId="3" hidden="1">1</definedName>
    <definedName name="solver_rel7" localSheetId="4" hidden="1">1</definedName>
    <definedName name="solver_rel8" localSheetId="0" hidden="1">3</definedName>
    <definedName name="solver_rel8" localSheetId="1" hidden="1">3</definedName>
    <definedName name="solver_rel8" localSheetId="2" hidden="1">3</definedName>
    <definedName name="solver_rel8" localSheetId="3" hidden="1">3</definedName>
    <definedName name="solver_rel8" localSheetId="4" hidden="1">3</definedName>
    <definedName name="solver_rhs1" localSheetId="0" hidden="1">'Scenario 1'!$G$15</definedName>
    <definedName name="solver_rhs1" localSheetId="1" hidden="1">'Scenario 2'!$G$15</definedName>
    <definedName name="solver_rhs1" localSheetId="2" hidden="1">'Scenario 3'!$G$15</definedName>
    <definedName name="solver_rhs1" localSheetId="3" hidden="1">'Scenario chase'!$G$15</definedName>
    <definedName name="solver_rhs1" localSheetId="4" hidden="1">'Scenario X'!$G$15</definedName>
    <definedName name="solver_rhs2" localSheetId="0" hidden="1">'Scenario 1'!$G$20</definedName>
    <definedName name="solver_rhs2" localSheetId="1" hidden="1">'Scenario 2'!$G$20</definedName>
    <definedName name="solver_rhs2" localSheetId="2" hidden="1">'Scenario 3'!$G$20</definedName>
    <definedName name="solver_rhs2" localSheetId="3" hidden="1">'Scenario chase'!$G$20</definedName>
    <definedName name="solver_rhs2" localSheetId="4" hidden="1">'Scenario X'!$G$20</definedName>
    <definedName name="solver_rhs3" localSheetId="0" hidden="1">'Scenario 1'!$G$19</definedName>
    <definedName name="solver_rhs3" localSheetId="1" hidden="1">'Scenario 2'!$G$19</definedName>
    <definedName name="solver_rhs3" localSheetId="2" hidden="1">'Scenario 3'!$G$19</definedName>
    <definedName name="solver_rhs3" localSheetId="3" hidden="1">'Scenario chase'!$G$19</definedName>
    <definedName name="solver_rhs3" localSheetId="4" hidden="1">'Scenario X'!$G$19</definedName>
    <definedName name="solver_rhs4" localSheetId="0" hidden="1">"entier"</definedName>
    <definedName name="solver_rhs4" localSheetId="1" hidden="1">"entier"</definedName>
    <definedName name="solver_rhs4" localSheetId="2" hidden="1">"entier"</definedName>
    <definedName name="solver_rhs4" localSheetId="3" hidden="1">"entier"</definedName>
    <definedName name="solver_rhs4" localSheetId="4" hidden="1">"entier"</definedName>
    <definedName name="solver_rhs5" localSheetId="0" hidden="1">'Scenario 1'!$P$23:$P$34</definedName>
    <definedName name="solver_rhs5" localSheetId="1" hidden="1">'Scenario 2'!$P$23:$P$34</definedName>
    <definedName name="solver_rhs5" localSheetId="2" hidden="1">'Scenario 3'!$P$23:$P$34</definedName>
    <definedName name="solver_rhs5" localSheetId="3" hidden="1">'Scenario chase'!$P$23:$P$34</definedName>
    <definedName name="solver_rhs5" localSheetId="4" hidden="1">'Scenario X'!$P$23:$P$34</definedName>
    <definedName name="solver_rhs6" localSheetId="0" hidden="1">'Scenario 1'!$G$17</definedName>
    <definedName name="solver_rhs6" localSheetId="1" hidden="1">'Scenario 2'!$G$17</definedName>
    <definedName name="solver_rhs6" localSheetId="2" hidden="1">'Scenario 3'!$G$17</definedName>
    <definedName name="solver_rhs6" localSheetId="3" hidden="1">'Scenario chase'!$G$17</definedName>
    <definedName name="solver_rhs6" localSheetId="4" hidden="1">'Scenario X'!$G$17</definedName>
    <definedName name="solver_rhs7" localSheetId="0" hidden="1">'Scenario 1'!$O$23:$O$34</definedName>
    <definedName name="solver_rhs7" localSheetId="1" hidden="1">'Scenario 2'!$O$23:$O$34</definedName>
    <definedName name="solver_rhs7" localSheetId="2" hidden="1">'Scenario 3'!$O$23:$O$34</definedName>
    <definedName name="solver_rhs7" localSheetId="3" hidden="1">'Scenario chase'!$O$23:$O$34</definedName>
    <definedName name="solver_rhs7" localSheetId="4" hidden="1">'Scenario X'!$O$23:$O$34</definedName>
    <definedName name="solver_rhs8" localSheetId="0" hidden="1">'Scenario 1'!$M$23:$M$34</definedName>
    <definedName name="solver_rhs8" localSheetId="1" hidden="1">'Scenario 2'!$M$23:$M$34</definedName>
    <definedName name="solver_rhs8" localSheetId="2" hidden="1">'Scenario 3'!$M$23:$M$34</definedName>
    <definedName name="solver_rhs8" localSheetId="3" hidden="1">'Scenario chase'!$M$23:$M$34</definedName>
    <definedName name="solver_rhs8" localSheetId="4" hidden="1">'Scenario X'!$M$23:$M$34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0.000001</definedName>
    <definedName name="solver_tol" localSheetId="1" hidden="1">0.000001</definedName>
    <definedName name="solver_tol" localSheetId="2" hidden="1">0.000001</definedName>
    <definedName name="solver_tol" localSheetId="3" hidden="1">0.000001</definedName>
    <definedName name="solver_tol" localSheetId="4" hidden="1">0.000001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6" i="15" l="1"/>
  <c r="J36" i="15"/>
  <c r="I36" i="15"/>
  <c r="E8" i="15" s="1"/>
  <c r="G36" i="15"/>
  <c r="E3" i="15" s="1"/>
  <c r="F36" i="15"/>
  <c r="E5" i="15" s="1"/>
  <c r="E36" i="15"/>
  <c r="E4" i="15" s="1"/>
  <c r="P23" i="15"/>
  <c r="H23" i="15"/>
  <c r="H24" i="15" s="1"/>
  <c r="D23" i="15"/>
  <c r="D24" i="15" s="1"/>
  <c r="C23" i="15"/>
  <c r="E9" i="15"/>
  <c r="M36" i="14"/>
  <c r="J36" i="14"/>
  <c r="I36" i="14"/>
  <c r="G36" i="14"/>
  <c r="F36" i="14"/>
  <c r="E36" i="14"/>
  <c r="H24" i="14"/>
  <c r="K24" i="14" s="1"/>
  <c r="D24" i="14"/>
  <c r="O24" i="14" s="1"/>
  <c r="C24" i="14"/>
  <c r="P23" i="14"/>
  <c r="O23" i="14"/>
  <c r="H23" i="14"/>
  <c r="K23" i="14" s="1"/>
  <c r="D23" i="14"/>
  <c r="C23" i="14"/>
  <c r="E9" i="14"/>
  <c r="E8" i="14"/>
  <c r="E5" i="14"/>
  <c r="E4" i="14"/>
  <c r="E3" i="14"/>
  <c r="M36" i="13"/>
  <c r="J36" i="13"/>
  <c r="E9" i="13" s="1"/>
  <c r="I36" i="13"/>
  <c r="G36" i="13"/>
  <c r="F36" i="13"/>
  <c r="E36" i="13"/>
  <c r="H23" i="13"/>
  <c r="K23" i="13" s="1"/>
  <c r="D23" i="13"/>
  <c r="P23" i="13" s="1"/>
  <c r="C23" i="13"/>
  <c r="E8" i="13"/>
  <c r="E5" i="13"/>
  <c r="E4" i="13"/>
  <c r="E3" i="13"/>
  <c r="M36" i="12"/>
  <c r="J36" i="12"/>
  <c r="I36" i="12"/>
  <c r="G36" i="12"/>
  <c r="E3" i="12" s="1"/>
  <c r="F36" i="12"/>
  <c r="E5" i="12" s="1"/>
  <c r="E36" i="12"/>
  <c r="E4" i="12" s="1"/>
  <c r="H25" i="12"/>
  <c r="K25" i="12" s="1"/>
  <c r="C25" i="12"/>
  <c r="H24" i="12"/>
  <c r="C24" i="12"/>
  <c r="K23" i="12"/>
  <c r="H23" i="12"/>
  <c r="D23" i="12"/>
  <c r="C23" i="12"/>
  <c r="K24" i="12" s="1"/>
  <c r="E9" i="12"/>
  <c r="E8" i="12"/>
  <c r="M36" i="11"/>
  <c r="J36" i="11"/>
  <c r="I36" i="11"/>
  <c r="E8" i="11" s="1"/>
  <c r="G36" i="11"/>
  <c r="F36" i="11"/>
  <c r="E36" i="11"/>
  <c r="H24" i="11"/>
  <c r="H25" i="11" s="1"/>
  <c r="D24" i="11"/>
  <c r="P24" i="11" s="1"/>
  <c r="C24" i="11"/>
  <c r="P23" i="11"/>
  <c r="K23" i="11"/>
  <c r="H23" i="11"/>
  <c r="D23" i="11"/>
  <c r="O23" i="11" s="1"/>
  <c r="C23" i="11"/>
  <c r="E9" i="11"/>
  <c r="E5" i="11"/>
  <c r="E4" i="11"/>
  <c r="E3" i="11"/>
  <c r="K24" i="15" l="1"/>
  <c r="D25" i="15"/>
  <c r="P24" i="15"/>
  <c r="O24" i="15"/>
  <c r="K26" i="12"/>
  <c r="H26" i="11"/>
  <c r="K24" i="11"/>
  <c r="C25" i="11"/>
  <c r="C24" i="13"/>
  <c r="P24" i="14"/>
  <c r="D25" i="11"/>
  <c r="C26" i="12"/>
  <c r="D24" i="13"/>
  <c r="C25" i="14"/>
  <c r="H25" i="14"/>
  <c r="H26" i="14" s="1"/>
  <c r="K23" i="15"/>
  <c r="D25" i="14"/>
  <c r="O23" i="12"/>
  <c r="P23" i="12"/>
  <c r="K25" i="14"/>
  <c r="O23" i="15"/>
  <c r="H24" i="13"/>
  <c r="H25" i="13" s="1"/>
  <c r="K25" i="11"/>
  <c r="D24" i="12"/>
  <c r="C24" i="15"/>
  <c r="H26" i="12"/>
  <c r="O24" i="11"/>
  <c r="O23" i="13"/>
  <c r="D26" i="14" l="1"/>
  <c r="P25" i="14"/>
  <c r="O25" i="14"/>
  <c r="H27" i="11"/>
  <c r="H27" i="12"/>
  <c r="H28" i="12" s="1"/>
  <c r="C26" i="14"/>
  <c r="H27" i="14" s="1"/>
  <c r="K26" i="14"/>
  <c r="D26" i="15"/>
  <c r="P25" i="15"/>
  <c r="O25" i="15"/>
  <c r="D25" i="13"/>
  <c r="P24" i="13"/>
  <c r="O24" i="13"/>
  <c r="C25" i="15"/>
  <c r="C27" i="12"/>
  <c r="D25" i="12"/>
  <c r="P24" i="12"/>
  <c r="O24" i="12"/>
  <c r="D26" i="11"/>
  <c r="P25" i="11"/>
  <c r="O25" i="11"/>
  <c r="C25" i="13"/>
  <c r="K25" i="13"/>
  <c r="H25" i="15"/>
  <c r="K25" i="15" s="1"/>
  <c r="K24" i="13"/>
  <c r="C26" i="11"/>
  <c r="K26" i="11"/>
  <c r="P26" i="11" l="1"/>
  <c r="D27" i="11"/>
  <c r="O26" i="11"/>
  <c r="H28" i="11"/>
  <c r="C28" i="12"/>
  <c r="K28" i="12"/>
  <c r="K26" i="13"/>
  <c r="C26" i="13"/>
  <c r="K26" i="15"/>
  <c r="C26" i="15"/>
  <c r="H26" i="13"/>
  <c r="C27" i="14"/>
  <c r="K27" i="14"/>
  <c r="H26" i="15"/>
  <c r="O25" i="13"/>
  <c r="D26" i="13"/>
  <c r="P25" i="13"/>
  <c r="P26" i="15"/>
  <c r="O26" i="15"/>
  <c r="D27" i="15"/>
  <c r="O25" i="12"/>
  <c r="D26" i="12"/>
  <c r="P25" i="12"/>
  <c r="K27" i="12"/>
  <c r="K27" i="11"/>
  <c r="C27" i="11"/>
  <c r="D27" i="14"/>
  <c r="P26" i="14"/>
  <c r="O26" i="14"/>
  <c r="D27" i="13" l="1"/>
  <c r="P26" i="13"/>
  <c r="O26" i="13"/>
  <c r="H29" i="11"/>
  <c r="C27" i="13"/>
  <c r="C29" i="12"/>
  <c r="H29" i="12"/>
  <c r="P27" i="14"/>
  <c r="D28" i="14"/>
  <c r="O27" i="14"/>
  <c r="H27" i="15"/>
  <c r="K28" i="11"/>
  <c r="C28" i="11"/>
  <c r="D28" i="11"/>
  <c r="P27" i="11"/>
  <c r="O27" i="11"/>
  <c r="C28" i="14"/>
  <c r="D27" i="12"/>
  <c r="P26" i="12"/>
  <c r="O26" i="12"/>
  <c r="H27" i="13"/>
  <c r="H28" i="13" s="1"/>
  <c r="H28" i="14"/>
  <c r="D28" i="15"/>
  <c r="P27" i="15"/>
  <c r="O27" i="15"/>
  <c r="C27" i="15"/>
  <c r="H29" i="14" l="1"/>
  <c r="K27" i="13"/>
  <c r="C30" i="12"/>
  <c r="C28" i="13"/>
  <c r="H29" i="13" s="1"/>
  <c r="K28" i="13"/>
  <c r="K28" i="14"/>
  <c r="P27" i="13"/>
  <c r="O27" i="13"/>
  <c r="D28" i="13"/>
  <c r="H28" i="15"/>
  <c r="H29" i="15" s="1"/>
  <c r="D29" i="15"/>
  <c r="P28" i="15"/>
  <c r="O28" i="15"/>
  <c r="P28" i="14"/>
  <c r="O28" i="14"/>
  <c r="D29" i="14"/>
  <c r="H30" i="12"/>
  <c r="H31" i="12" s="1"/>
  <c r="K29" i="12"/>
  <c r="D28" i="12"/>
  <c r="P27" i="12"/>
  <c r="O27" i="12"/>
  <c r="C29" i="14"/>
  <c r="K29" i="14"/>
  <c r="P28" i="11"/>
  <c r="O28" i="11"/>
  <c r="D29" i="11"/>
  <c r="K27" i="15"/>
  <c r="C29" i="11"/>
  <c r="K29" i="11"/>
  <c r="C28" i="15"/>
  <c r="D29" i="13" l="1"/>
  <c r="P28" i="13"/>
  <c r="O28" i="13"/>
  <c r="K28" i="15"/>
  <c r="K29" i="15"/>
  <c r="C29" i="15"/>
  <c r="C30" i="11"/>
  <c r="K30" i="11"/>
  <c r="P29" i="14"/>
  <c r="O29" i="14"/>
  <c r="D30" i="14"/>
  <c r="C31" i="12"/>
  <c r="K31" i="12"/>
  <c r="D30" i="11"/>
  <c r="P29" i="11"/>
  <c r="O29" i="11"/>
  <c r="H30" i="11"/>
  <c r="O29" i="15"/>
  <c r="P29" i="15"/>
  <c r="D30" i="15"/>
  <c r="C30" i="14"/>
  <c r="K30" i="14"/>
  <c r="P28" i="12"/>
  <c r="D29" i="12"/>
  <c r="O28" i="12"/>
  <c r="C29" i="13"/>
  <c r="K29" i="13"/>
  <c r="K30" i="12"/>
  <c r="H30" i="14"/>
  <c r="P29" i="12" l="1"/>
  <c r="O29" i="12"/>
  <c r="D30" i="12"/>
  <c r="C31" i="11"/>
  <c r="H31" i="11"/>
  <c r="H32" i="11" s="1"/>
  <c r="C31" i="14"/>
  <c r="P30" i="15"/>
  <c r="O30" i="15"/>
  <c r="D31" i="15"/>
  <c r="H31" i="14"/>
  <c r="H32" i="14" s="1"/>
  <c r="D31" i="11"/>
  <c r="P30" i="11"/>
  <c r="O30" i="11"/>
  <c r="D30" i="13"/>
  <c r="O29" i="13"/>
  <c r="P29" i="13"/>
  <c r="C32" i="12"/>
  <c r="C30" i="15"/>
  <c r="H30" i="15"/>
  <c r="K30" i="13"/>
  <c r="C30" i="13"/>
  <c r="H32" i="12"/>
  <c r="K32" i="12" s="1"/>
  <c r="D31" i="14"/>
  <c r="P30" i="14"/>
  <c r="O30" i="14"/>
  <c r="H30" i="13"/>
  <c r="H31" i="15" l="1"/>
  <c r="K30" i="15"/>
  <c r="K32" i="14"/>
  <c r="C32" i="14"/>
  <c r="H33" i="14" s="1"/>
  <c r="K31" i="14"/>
  <c r="K32" i="11"/>
  <c r="C32" i="11"/>
  <c r="H33" i="11" s="1"/>
  <c r="P30" i="12"/>
  <c r="O30" i="12"/>
  <c r="D31" i="12"/>
  <c r="H33" i="12"/>
  <c r="H34" i="12" s="1"/>
  <c r="H36" i="12" s="1"/>
  <c r="E7" i="12" s="1"/>
  <c r="O31" i="11"/>
  <c r="D32" i="11"/>
  <c r="P31" i="11"/>
  <c r="D32" i="15"/>
  <c r="P31" i="15"/>
  <c r="O31" i="15"/>
  <c r="C31" i="13"/>
  <c r="K31" i="15"/>
  <c r="C31" i="15"/>
  <c r="C33" i="12"/>
  <c r="H31" i="13"/>
  <c r="H32" i="13" s="1"/>
  <c r="K31" i="11"/>
  <c r="O30" i="13"/>
  <c r="D31" i="13"/>
  <c r="P30" i="13"/>
  <c r="D32" i="14"/>
  <c r="O31" i="14"/>
  <c r="P31" i="14"/>
  <c r="P31" i="13" l="1"/>
  <c r="O31" i="13"/>
  <c r="D32" i="13"/>
  <c r="D32" i="12"/>
  <c r="P31" i="12"/>
  <c r="O31" i="12"/>
  <c r="C32" i="15"/>
  <c r="O32" i="14"/>
  <c r="D33" i="14"/>
  <c r="P32" i="14"/>
  <c r="P32" i="11"/>
  <c r="O32" i="11"/>
  <c r="D33" i="11"/>
  <c r="K34" i="12"/>
  <c r="C34" i="12"/>
  <c r="C36" i="12" s="1"/>
  <c r="E6" i="12" s="1"/>
  <c r="K31" i="13"/>
  <c r="D33" i="15"/>
  <c r="O32" i="15"/>
  <c r="P32" i="15"/>
  <c r="K33" i="12"/>
  <c r="K33" i="11"/>
  <c r="C33" i="11"/>
  <c r="K32" i="13"/>
  <c r="C32" i="13"/>
  <c r="K33" i="14"/>
  <c r="C33" i="14"/>
  <c r="H34" i="14" s="1"/>
  <c r="H36" i="14" s="1"/>
  <c r="E7" i="14" s="1"/>
  <c r="H32" i="15"/>
  <c r="H33" i="15" s="1"/>
  <c r="C33" i="13" l="1"/>
  <c r="C34" i="11"/>
  <c r="C36" i="11" s="1"/>
  <c r="E6" i="11" s="1"/>
  <c r="H33" i="13"/>
  <c r="H34" i="13" s="1"/>
  <c r="H36" i="13" s="1"/>
  <c r="E7" i="13" s="1"/>
  <c r="D34" i="14"/>
  <c r="P33" i="14"/>
  <c r="O33" i="14"/>
  <c r="K33" i="15"/>
  <c r="C33" i="15"/>
  <c r="H34" i="15" s="1"/>
  <c r="H36" i="15" s="1"/>
  <c r="E7" i="15" s="1"/>
  <c r="K32" i="15"/>
  <c r="D33" i="13"/>
  <c r="P32" i="13"/>
  <c r="O32" i="13"/>
  <c r="K34" i="14"/>
  <c r="C34" i="14"/>
  <c r="C36" i="14" s="1"/>
  <c r="E6" i="14" s="1"/>
  <c r="P32" i="12"/>
  <c r="D33" i="12"/>
  <c r="O32" i="12"/>
  <c r="D34" i="15"/>
  <c r="P33" i="15"/>
  <c r="O33" i="15"/>
  <c r="D34" i="11"/>
  <c r="P33" i="11"/>
  <c r="O33" i="11"/>
  <c r="H34" i="11"/>
  <c r="H36" i="11" s="1"/>
  <c r="E7" i="11" s="1"/>
  <c r="P34" i="15" l="1"/>
  <c r="O34" i="15"/>
  <c r="D36" i="15"/>
  <c r="E2" i="15" s="1"/>
  <c r="K34" i="11"/>
  <c r="O33" i="12"/>
  <c r="D34" i="12"/>
  <c r="P33" i="12"/>
  <c r="P33" i="13"/>
  <c r="O33" i="13"/>
  <c r="D34" i="13"/>
  <c r="P34" i="11"/>
  <c r="O34" i="11"/>
  <c r="D36" i="11"/>
  <c r="E2" i="11" s="1"/>
  <c r="C2" i="11" s="1"/>
  <c r="C4" i="11" s="1"/>
  <c r="O34" i="14"/>
  <c r="P34" i="14"/>
  <c r="D36" i="14"/>
  <c r="E2" i="14" s="1"/>
  <c r="C2" i="14" s="1"/>
  <c r="C4" i="14" s="1"/>
  <c r="K33" i="13"/>
  <c r="K34" i="15"/>
  <c r="C34" i="15"/>
  <c r="C36" i="15" s="1"/>
  <c r="E6" i="15" s="1"/>
  <c r="K34" i="13"/>
  <c r="C34" i="13"/>
  <c r="C36" i="13" s="1"/>
  <c r="E6" i="13" s="1"/>
  <c r="P34" i="13" l="1"/>
  <c r="O34" i="13"/>
  <c r="D36" i="13"/>
  <c r="E2" i="13" s="1"/>
  <c r="C2" i="13" s="1"/>
  <c r="C4" i="13" s="1"/>
  <c r="P34" i="12"/>
  <c r="O34" i="12"/>
  <c r="D36" i="12"/>
  <c r="E2" i="12" s="1"/>
  <c r="C2" i="12" s="1"/>
  <c r="C4" i="12" s="1"/>
  <c r="C2" i="15"/>
  <c r="C4" i="15" s="1"/>
</calcChain>
</file>

<file path=xl/sharedStrings.xml><?xml version="1.0" encoding="utf-8"?>
<sst xmlns="http://schemas.openxmlformats.org/spreadsheetml/2006/main" count="290" uniqueCount="47">
  <si>
    <t>Time Period</t>
  </si>
  <si>
    <t>Workforce</t>
  </si>
  <si>
    <t>Inputs:</t>
  </si>
  <si>
    <t>Cost for hiring and training new worker</t>
  </si>
  <si>
    <t>Cost for laying off an employee</t>
  </si>
  <si>
    <t>Labor hours required per item produced</t>
  </si>
  <si>
    <t>Outsourcing cost ($/item)</t>
  </si>
  <si>
    <t>Regular Labor Cost</t>
  </si>
  <si>
    <t>Overtime Labor cost</t>
  </si>
  <si>
    <t>Cost of Stockouts</t>
  </si>
  <si>
    <t>Cost of Firing</t>
  </si>
  <si>
    <t>Cost of Hiring</t>
  </si>
  <si>
    <t>Cost of Materials</t>
  </si>
  <si>
    <t xml:space="preserve">Regular worker cost ($/month) </t>
  </si>
  <si>
    <t>Overtime (hrs)</t>
  </si>
  <si>
    <t>Cost of stockouts ($/unit/month)</t>
  </si>
  <si>
    <t>Inventory (#)</t>
  </si>
  <si>
    <t>Material cost ($/unit)</t>
  </si>
  <si>
    <t>≥</t>
  </si>
  <si>
    <t>Total Annual Cost</t>
  </si>
  <si>
    <t>Avg Cost ($/unit)</t>
  </si>
  <si>
    <t>Annual Costs by Category</t>
  </si>
  <si>
    <t>Annual Sum</t>
  </si>
  <si>
    <t>Employees Hired</t>
  </si>
  <si>
    <t>Employees Fired</t>
  </si>
  <si>
    <t>Backlogged (units)</t>
  </si>
  <si>
    <t>Internal Production (units)</t>
  </si>
  <si>
    <t>Outsourced Production (units)</t>
  </si>
  <si>
    <t xml:space="preserve">Available </t>
  </si>
  <si>
    <t>Monthly Demand Forecast  (units)</t>
  </si>
  <si>
    <t>Maximum Production (units)</t>
  </si>
  <si>
    <t>Maximum  Overtime (hours)</t>
  </si>
  <si>
    <t>Overtime cost ($/hour)</t>
  </si>
  <si>
    <t>Inventory holding costs ($/unit/month)</t>
  </si>
  <si>
    <t>Hours worked By employee per month</t>
  </si>
  <si>
    <t>Max overtime (hours/month/employee)</t>
  </si>
  <si>
    <t>Starting inventory</t>
  </si>
  <si>
    <t>Ending inventory (min)</t>
  </si>
  <si>
    <t>Starting backlog</t>
  </si>
  <si>
    <t>Allowable ending backlog (max)</t>
  </si>
  <si>
    <t>Starting workforce</t>
  </si>
  <si>
    <t>Ending workforce (min)</t>
  </si>
  <si>
    <t>Ending workforce (max)</t>
  </si>
  <si>
    <t>Cost of Inventory</t>
  </si>
  <si>
    <t>Cost of Outsourcing</t>
  </si>
  <si>
    <t xml:space="preserve"> </t>
  </si>
  <si>
    <t>Unicorn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</si>
</sst>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44" fontId="0" fillId="0" borderId="2" xfId="2" applyFont="1" applyBorder="1"/>
    <xf numFmtId="0" fontId="0" fillId="0" borderId="3" xfId="0" applyBorder="1"/>
    <xf numFmtId="0" fontId="0" fillId="0" borderId="4" xfId="0" applyBorder="1"/>
    <xf numFmtId="164" fontId="0" fillId="3" borderId="5" xfId="2" applyNumberFormat="1" applyFont="1" applyFill="1" applyBorder="1"/>
    <xf numFmtId="0" fontId="0" fillId="0" borderId="6" xfId="0" applyBorder="1"/>
    <xf numFmtId="0" fontId="0" fillId="0" borderId="7" xfId="0" applyBorder="1"/>
    <xf numFmtId="164" fontId="0" fillId="3" borderId="8" xfId="2" applyNumberFormat="1" applyFont="1" applyFill="1" applyBorder="1"/>
    <xf numFmtId="0" fontId="0" fillId="0" borderId="9" xfId="0" applyBorder="1"/>
    <xf numFmtId="164" fontId="0" fillId="3" borderId="10" xfId="2" applyNumberFormat="1" applyFont="1" applyFill="1" applyBorder="1"/>
    <xf numFmtId="0" fontId="0" fillId="0" borderId="11" xfId="0" applyBorder="1"/>
    <xf numFmtId="0" fontId="0" fillId="0" borderId="12" xfId="0" applyBorder="1"/>
    <xf numFmtId="164" fontId="0" fillId="4" borderId="8" xfId="2" applyNumberFormat="1" applyFont="1" applyFill="1" applyBorder="1"/>
    <xf numFmtId="0" fontId="0" fillId="4" borderId="8" xfId="0" applyFill="1" applyBorder="1"/>
    <xf numFmtId="164" fontId="0" fillId="4" borderId="10" xfId="2" applyNumberFormat="1" applyFont="1" applyFill="1" applyBorder="1"/>
    <xf numFmtId="0" fontId="0" fillId="0" borderId="15" xfId="0" applyBorder="1"/>
    <xf numFmtId="0" fontId="0" fillId="0" borderId="16" xfId="0" applyBorder="1"/>
    <xf numFmtId="164" fontId="0" fillId="4" borderId="5" xfId="2" applyNumberFormat="1" applyFont="1" applyFill="1" applyBorder="1"/>
    <xf numFmtId="3" fontId="0" fillId="4" borderId="13" xfId="1" applyNumberFormat="1" applyFont="1" applyFill="1" applyBorder="1" applyAlignment="1">
      <alignment horizontal="center"/>
    </xf>
    <xf numFmtId="3" fontId="0" fillId="4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0" borderId="1" xfId="0" applyNumberFormat="1" applyBorder="1"/>
    <xf numFmtId="3" fontId="0" fillId="4" borderId="1" xfId="0" applyNumberFormat="1" applyFill="1" applyBorder="1"/>
    <xf numFmtId="3" fontId="0" fillId="0" borderId="0" xfId="0" applyNumberFormat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164" fontId="3" fillId="0" borderId="2" xfId="2" applyNumberFormat="1" applyFont="1" applyBorder="1"/>
    <xf numFmtId="3" fontId="0" fillId="5" borderId="1" xfId="1" applyNumberFormat="1" applyFont="1" applyFill="1" applyBorder="1" applyAlignment="1">
      <alignment horizontal="center"/>
    </xf>
    <xf numFmtId="3" fontId="0" fillId="5" borderId="14" xfId="1" applyNumberFormat="1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</cellXfs>
  <cellStyles count="63">
    <cellStyle name="Comma" xfId="1" builtinId="3"/>
    <cellStyle name="Comma 2" xfId="62" xr:uid="{00000000-0005-0000-0000-000001000000}"/>
    <cellStyle name="Currency" xfId="2" builtinId="4"/>
    <cellStyle name="Currency 2" xfId="61" xr:uid="{00000000-0005-0000-0000-000003000000}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2E5C-1E50-4543-B7D6-13A1B5C026E2}">
  <dimension ref="A1:S39"/>
  <sheetViews>
    <sheetView tabSelected="1" zoomScale="59" zoomScaleNormal="120" zoomScalePageLayoutView="150" workbookViewId="0">
      <selection activeCell="I4" sqref="I4"/>
    </sheetView>
  </sheetViews>
  <sheetFormatPr defaultColWidth="10.6640625" defaultRowHeight="15.5" x14ac:dyDescent="0.35"/>
  <cols>
    <col min="3" max="3" width="12.5" bestFit="1" customWidth="1"/>
    <col min="5" max="5" width="14.1640625" bestFit="1" customWidth="1"/>
    <col min="8" max="9" width="14" customWidth="1"/>
    <col min="11" max="11" width="11.1640625" hidden="1" customWidth="1"/>
    <col min="12" max="12" width="3.33203125" customWidth="1"/>
    <col min="14" max="14" width="3.33203125" customWidth="1"/>
    <col min="15" max="15" width="10.83203125" customWidth="1"/>
    <col min="16" max="16" width="13.1640625" bestFit="1" customWidth="1"/>
  </cols>
  <sheetData>
    <row r="1" spans="1:10" ht="16" thickBot="1" x14ac:dyDescent="0.4">
      <c r="A1" s="2" t="s">
        <v>46</v>
      </c>
      <c r="E1" s="36" t="s">
        <v>21</v>
      </c>
      <c r="F1" s="37"/>
      <c r="G1" s="38"/>
    </row>
    <row r="2" spans="1:10" ht="16" thickBot="1" x14ac:dyDescent="0.4">
      <c r="B2" s="32" t="s">
        <v>19</v>
      </c>
      <c r="C2" s="33">
        <f>SUM(E2:E9)</f>
        <v>7345300</v>
      </c>
      <c r="E2" s="7">
        <f>C18*D36</f>
        <v>1036800</v>
      </c>
      <c r="F2" s="8" t="s">
        <v>7</v>
      </c>
      <c r="G2" s="9"/>
    </row>
    <row r="3" spans="1:10" ht="16" thickBot="1" x14ac:dyDescent="0.4">
      <c r="E3" s="10">
        <f>G36*C19</f>
        <v>0</v>
      </c>
      <c r="F3" s="5" t="s">
        <v>8</v>
      </c>
      <c r="G3" s="11"/>
    </row>
    <row r="4" spans="1:10" ht="16" thickBot="1" x14ac:dyDescent="0.4">
      <c r="B4" s="3" t="s">
        <v>20</v>
      </c>
      <c r="C4" s="4">
        <f>C2/M36</f>
        <v>336.94036697247708</v>
      </c>
      <c r="E4" s="10">
        <f>E36*C15</f>
        <v>0</v>
      </c>
      <c r="F4" s="5" t="s">
        <v>11</v>
      </c>
      <c r="G4" s="11"/>
    </row>
    <row r="5" spans="1:10" x14ac:dyDescent="0.35">
      <c r="C5" s="1"/>
      <c r="E5" s="10">
        <f>F36*C16</f>
        <v>0</v>
      </c>
      <c r="F5" s="5" t="s">
        <v>10</v>
      </c>
      <c r="G5" s="11"/>
    </row>
    <row r="6" spans="1:10" x14ac:dyDescent="0.35">
      <c r="E6" s="10">
        <f>C36*C13</f>
        <v>0</v>
      </c>
      <c r="F6" s="5" t="s">
        <v>43</v>
      </c>
      <c r="G6" s="11"/>
    </row>
    <row r="7" spans="1:10" x14ac:dyDescent="0.35">
      <c r="C7" s="1"/>
      <c r="E7" s="10">
        <f>C14*H36</f>
        <v>6308500</v>
      </c>
      <c r="F7" s="5" t="s">
        <v>9</v>
      </c>
      <c r="G7" s="11"/>
    </row>
    <row r="8" spans="1:10" x14ac:dyDescent="0.35">
      <c r="E8" s="10">
        <f>I36*C12</f>
        <v>0</v>
      </c>
      <c r="F8" s="5" t="s">
        <v>12</v>
      </c>
      <c r="G8" s="11"/>
    </row>
    <row r="9" spans="1:10" ht="16" thickBot="1" x14ac:dyDescent="0.4">
      <c r="E9" s="12">
        <f>J36*C20</f>
        <v>0</v>
      </c>
      <c r="F9" s="13" t="s">
        <v>44</v>
      </c>
      <c r="G9" s="14"/>
    </row>
    <row r="11" spans="1:10" ht="16" thickBot="1" x14ac:dyDescent="0.4">
      <c r="B11" t="s">
        <v>2</v>
      </c>
    </row>
    <row r="12" spans="1:10" x14ac:dyDescent="0.35">
      <c r="C12" s="20">
        <v>75</v>
      </c>
      <c r="D12" s="18" t="s">
        <v>17</v>
      </c>
      <c r="E12" s="18"/>
      <c r="F12" s="18"/>
      <c r="G12" s="21">
        <v>160</v>
      </c>
      <c r="H12" s="18" t="s">
        <v>34</v>
      </c>
      <c r="I12" s="18"/>
      <c r="J12" s="9"/>
    </row>
    <row r="13" spans="1:10" x14ac:dyDescent="0.35">
      <c r="C13" s="15">
        <v>25</v>
      </c>
      <c r="D13" s="6" t="s">
        <v>33</v>
      </c>
      <c r="E13" s="6"/>
      <c r="F13" s="6"/>
      <c r="G13" s="22">
        <v>10</v>
      </c>
      <c r="H13" s="6" t="s">
        <v>35</v>
      </c>
      <c r="I13" s="6"/>
      <c r="J13" s="11"/>
    </row>
    <row r="14" spans="1:10" x14ac:dyDescent="0.35">
      <c r="C14" s="15">
        <v>50</v>
      </c>
      <c r="D14" s="6" t="s">
        <v>15</v>
      </c>
      <c r="E14" s="6"/>
      <c r="F14" s="6"/>
      <c r="G14" s="22">
        <v>500</v>
      </c>
      <c r="H14" s="6" t="s">
        <v>36</v>
      </c>
      <c r="I14" s="6"/>
      <c r="J14" s="11"/>
    </row>
    <row r="15" spans="1:10" x14ac:dyDescent="0.35">
      <c r="C15" s="15">
        <v>1200</v>
      </c>
      <c r="D15" s="6" t="s">
        <v>3</v>
      </c>
      <c r="E15" s="6"/>
      <c r="F15" s="6"/>
      <c r="G15" s="34">
        <v>500</v>
      </c>
      <c r="H15" s="6" t="s">
        <v>37</v>
      </c>
      <c r="I15" s="6"/>
      <c r="J15" s="11"/>
    </row>
    <row r="16" spans="1:10" x14ac:dyDescent="0.35">
      <c r="C16" s="15">
        <v>3600</v>
      </c>
      <c r="D16" s="6" t="s">
        <v>4</v>
      </c>
      <c r="E16" s="6"/>
      <c r="F16" s="6"/>
      <c r="G16" s="22">
        <v>0</v>
      </c>
      <c r="H16" s="6" t="s">
        <v>38</v>
      </c>
      <c r="I16" s="6"/>
      <c r="J16" s="11"/>
    </row>
    <row r="17" spans="2:16" x14ac:dyDescent="0.35">
      <c r="C17" s="16">
        <v>4</v>
      </c>
      <c r="D17" s="6" t="s">
        <v>5</v>
      </c>
      <c r="E17" s="6"/>
      <c r="F17" s="6"/>
      <c r="G17" s="34">
        <v>0</v>
      </c>
      <c r="H17" s="6" t="s">
        <v>39</v>
      </c>
      <c r="I17" s="6"/>
      <c r="J17" s="11"/>
    </row>
    <row r="18" spans="2:16" x14ac:dyDescent="0.35">
      <c r="C18" s="15">
        <v>2400</v>
      </c>
      <c r="D18" s="6" t="s">
        <v>13</v>
      </c>
      <c r="E18" s="6"/>
      <c r="F18" s="6"/>
      <c r="G18" s="22">
        <v>36</v>
      </c>
      <c r="H18" s="6" t="s">
        <v>40</v>
      </c>
      <c r="I18" s="6"/>
      <c r="J18" s="11"/>
    </row>
    <row r="19" spans="2:16" x14ac:dyDescent="0.35">
      <c r="C19" s="15">
        <v>25</v>
      </c>
      <c r="D19" s="6" t="s">
        <v>32</v>
      </c>
      <c r="E19" s="6"/>
      <c r="F19" s="6"/>
      <c r="G19" s="22">
        <v>30</v>
      </c>
      <c r="H19" s="6" t="s">
        <v>41</v>
      </c>
      <c r="I19" s="6"/>
      <c r="J19" s="11"/>
    </row>
    <row r="20" spans="2:16" ht="16" thickBot="1" x14ac:dyDescent="0.4">
      <c r="C20" s="17">
        <v>175</v>
      </c>
      <c r="D20" s="19" t="s">
        <v>6</v>
      </c>
      <c r="E20" s="19"/>
      <c r="F20" s="19"/>
      <c r="G20" s="35">
        <v>36</v>
      </c>
      <c r="H20" s="19" t="s">
        <v>42</v>
      </c>
      <c r="I20" s="19"/>
      <c r="J20" s="14"/>
    </row>
    <row r="22" spans="2:16" s="24" customFormat="1" ht="62" x14ac:dyDescent="0.35">
      <c r="B22" s="23" t="s">
        <v>0</v>
      </c>
      <c r="C22" s="23" t="s">
        <v>16</v>
      </c>
      <c r="D22" s="23" t="s">
        <v>1</v>
      </c>
      <c r="E22" s="23" t="s">
        <v>23</v>
      </c>
      <c r="F22" s="23" t="s">
        <v>24</v>
      </c>
      <c r="G22" s="23" t="s">
        <v>14</v>
      </c>
      <c r="H22" s="23" t="s">
        <v>25</v>
      </c>
      <c r="I22" s="23" t="s">
        <v>26</v>
      </c>
      <c r="J22" s="23" t="s">
        <v>27</v>
      </c>
      <c r="K22" s="23" t="s">
        <v>28</v>
      </c>
      <c r="L22" s="23"/>
      <c r="M22" s="23" t="s">
        <v>29</v>
      </c>
      <c r="O22" s="23" t="s">
        <v>30</v>
      </c>
      <c r="P22" s="23" t="s">
        <v>31</v>
      </c>
    </row>
    <row r="23" spans="2:16" x14ac:dyDescent="0.35">
      <c r="B23" s="30">
        <v>1</v>
      </c>
      <c r="C23" s="25">
        <f>IF(((G15+I23+J23-M23-G16)&gt;0),(G15+I23+J23-M23-G16),0)</f>
        <v>0</v>
      </c>
      <c r="D23" s="25">
        <f>G18+E23-F23</f>
        <v>36</v>
      </c>
      <c r="E23" s="26">
        <v>0</v>
      </c>
      <c r="F23" s="26">
        <v>0</v>
      </c>
      <c r="G23" s="26">
        <v>0</v>
      </c>
      <c r="H23" s="25">
        <f>IF(((G16+M23-G14-J23-I23)&gt;0),(G16+M23-G14-J23-I23),0)</f>
        <v>2300</v>
      </c>
      <c r="I23" s="26">
        <v>0</v>
      </c>
      <c r="J23" s="26">
        <v>0</v>
      </c>
      <c r="K23" s="27">
        <f>G14+I23+J23+H23-G16</f>
        <v>2800</v>
      </c>
      <c r="L23" s="27" t="s">
        <v>18</v>
      </c>
      <c r="M23" s="28">
        <v>2800</v>
      </c>
      <c r="N23" s="29"/>
      <c r="O23" s="25">
        <f>($G$12*D23+G23)/$C$17</f>
        <v>1440</v>
      </c>
      <c r="P23" s="25">
        <f>D23*$G$13</f>
        <v>360</v>
      </c>
    </row>
    <row r="24" spans="2:16" x14ac:dyDescent="0.35">
      <c r="B24" s="30">
        <v>2</v>
      </c>
      <c r="C24" s="25">
        <f>IF(((C23+I24+J24-M24-H23)&gt;0),(C23+I24+J24-M24-H23),0)</f>
        <v>0</v>
      </c>
      <c r="D24" s="25">
        <f t="shared" ref="D24:D34" si="0">D23+E24-F24</f>
        <v>36</v>
      </c>
      <c r="E24" s="26">
        <v>0</v>
      </c>
      <c r="F24" s="26">
        <v>0</v>
      </c>
      <c r="G24" s="26">
        <v>0</v>
      </c>
      <c r="H24" s="25">
        <f>IF(((H23+M24-C23-I24-J24)&gt;0),(H23+M24-C23-I24-J24),0)</f>
        <v>5100</v>
      </c>
      <c r="I24" s="26">
        <v>0</v>
      </c>
      <c r="J24" s="26">
        <v>0</v>
      </c>
      <c r="K24" s="27">
        <f>C23+I24+J24+H24-H23</f>
        <v>2800</v>
      </c>
      <c r="L24" s="27" t="s">
        <v>18</v>
      </c>
      <c r="M24" s="28">
        <v>2800</v>
      </c>
      <c r="N24" s="29"/>
      <c r="O24" s="25">
        <f t="shared" ref="O24:O34" si="1">($G$12*D24+G24)/$C$17</f>
        <v>1440</v>
      </c>
      <c r="P24" s="25">
        <f t="shared" ref="P24:P34" si="2">D24*$G$13</f>
        <v>360</v>
      </c>
    </row>
    <row r="25" spans="2:16" x14ac:dyDescent="0.35">
      <c r="B25" s="30">
        <v>3</v>
      </c>
      <c r="C25" s="25">
        <f t="shared" ref="C25:C34" si="3">IF(((C24+I25+J25-M25-H24)&gt;0),(C24+I25+J25-M25-H24),0)</f>
        <v>0</v>
      </c>
      <c r="D25" s="25">
        <f t="shared" si="0"/>
        <v>36</v>
      </c>
      <c r="E25" s="26">
        <v>0</v>
      </c>
      <c r="F25" s="26">
        <v>0</v>
      </c>
      <c r="G25" s="26">
        <v>0</v>
      </c>
      <c r="H25" s="25">
        <f t="shared" ref="H25:H34" si="4">IF(((H24+M25-C24-I25-J25)&gt;0),(H24+M25-C24-I25-J25),0)</f>
        <v>6100</v>
      </c>
      <c r="I25" s="26">
        <v>0</v>
      </c>
      <c r="J25" s="26">
        <v>0</v>
      </c>
      <c r="K25" s="27">
        <f t="shared" ref="K25:K34" si="5">C24+I25+J25+H25-H24</f>
        <v>1000</v>
      </c>
      <c r="L25" s="27" t="s">
        <v>18</v>
      </c>
      <c r="M25" s="28">
        <v>1000</v>
      </c>
      <c r="N25" s="29"/>
      <c r="O25" s="25">
        <f t="shared" si="1"/>
        <v>1440</v>
      </c>
      <c r="P25" s="25">
        <f t="shared" si="2"/>
        <v>360</v>
      </c>
    </row>
    <row r="26" spans="2:16" x14ac:dyDescent="0.35">
      <c r="B26" s="30">
        <v>4</v>
      </c>
      <c r="C26" s="25">
        <f t="shared" si="3"/>
        <v>0</v>
      </c>
      <c r="D26" s="25">
        <f t="shared" si="0"/>
        <v>36</v>
      </c>
      <c r="E26" s="26">
        <v>0</v>
      </c>
      <c r="F26" s="26">
        <v>0</v>
      </c>
      <c r="G26" s="26">
        <v>0</v>
      </c>
      <c r="H26" s="25">
        <f t="shared" si="4"/>
        <v>7020</v>
      </c>
      <c r="I26" s="26">
        <v>0</v>
      </c>
      <c r="J26" s="26">
        <v>0</v>
      </c>
      <c r="K26" s="27">
        <f t="shared" si="5"/>
        <v>920</v>
      </c>
      <c r="L26" s="27" t="s">
        <v>18</v>
      </c>
      <c r="M26" s="28">
        <v>920</v>
      </c>
      <c r="N26" s="29"/>
      <c r="O26" s="25">
        <f t="shared" si="1"/>
        <v>1440</v>
      </c>
      <c r="P26" s="25">
        <f t="shared" si="2"/>
        <v>360</v>
      </c>
    </row>
    <row r="27" spans="2:16" x14ac:dyDescent="0.35">
      <c r="B27" s="30">
        <v>5</v>
      </c>
      <c r="C27" s="25">
        <f t="shared" si="3"/>
        <v>0</v>
      </c>
      <c r="D27" s="25">
        <f t="shared" si="0"/>
        <v>36</v>
      </c>
      <c r="E27" s="26">
        <v>0</v>
      </c>
      <c r="F27" s="26">
        <v>0</v>
      </c>
      <c r="G27" s="26">
        <v>0</v>
      </c>
      <c r="H27" s="25">
        <f t="shared" si="4"/>
        <v>7800</v>
      </c>
      <c r="I27" s="26">
        <v>0</v>
      </c>
      <c r="J27" s="26">
        <v>0</v>
      </c>
      <c r="K27" s="27">
        <f t="shared" si="5"/>
        <v>780</v>
      </c>
      <c r="L27" s="27" t="s">
        <v>18</v>
      </c>
      <c r="M27" s="28">
        <v>780</v>
      </c>
      <c r="N27" s="29"/>
      <c r="O27" s="25">
        <f t="shared" si="1"/>
        <v>1440</v>
      </c>
      <c r="P27" s="25">
        <f t="shared" si="2"/>
        <v>360</v>
      </c>
    </row>
    <row r="28" spans="2:16" x14ac:dyDescent="0.35">
      <c r="B28" s="30">
        <v>6</v>
      </c>
      <c r="C28" s="25">
        <f t="shared" si="3"/>
        <v>0</v>
      </c>
      <c r="D28" s="25">
        <f t="shared" si="0"/>
        <v>36</v>
      </c>
      <c r="E28" s="26">
        <v>0</v>
      </c>
      <c r="F28" s="26">
        <v>0</v>
      </c>
      <c r="G28" s="26">
        <v>0</v>
      </c>
      <c r="H28" s="25">
        <f t="shared" si="4"/>
        <v>8750</v>
      </c>
      <c r="I28" s="26">
        <v>0</v>
      </c>
      <c r="J28" s="26">
        <v>0</v>
      </c>
      <c r="K28" s="27">
        <f t="shared" si="5"/>
        <v>950</v>
      </c>
      <c r="L28" s="27" t="s">
        <v>18</v>
      </c>
      <c r="M28" s="28">
        <v>950</v>
      </c>
      <c r="N28" s="29"/>
      <c r="O28" s="25">
        <f t="shared" si="1"/>
        <v>1440</v>
      </c>
      <c r="P28" s="25">
        <f t="shared" si="2"/>
        <v>360</v>
      </c>
    </row>
    <row r="29" spans="2:16" x14ac:dyDescent="0.35">
      <c r="B29" s="30">
        <v>7</v>
      </c>
      <c r="C29" s="25">
        <f t="shared" si="3"/>
        <v>0</v>
      </c>
      <c r="D29" s="25">
        <f t="shared" si="0"/>
        <v>36</v>
      </c>
      <c r="E29" s="26">
        <v>0</v>
      </c>
      <c r="F29" s="26">
        <v>0</v>
      </c>
      <c r="G29" s="26">
        <v>0</v>
      </c>
      <c r="H29" s="25">
        <f t="shared" si="4"/>
        <v>9800</v>
      </c>
      <c r="I29" s="26">
        <v>0</v>
      </c>
      <c r="J29" s="26">
        <v>0</v>
      </c>
      <c r="K29" s="27">
        <f t="shared" si="5"/>
        <v>1050</v>
      </c>
      <c r="L29" s="27" t="s">
        <v>18</v>
      </c>
      <c r="M29" s="28">
        <v>1050</v>
      </c>
      <c r="N29" s="29"/>
      <c r="O29" s="25">
        <f t="shared" si="1"/>
        <v>1440</v>
      </c>
      <c r="P29" s="25">
        <f t="shared" si="2"/>
        <v>360</v>
      </c>
    </row>
    <row r="30" spans="2:16" x14ac:dyDescent="0.35">
      <c r="B30" s="30">
        <v>8</v>
      </c>
      <c r="C30" s="25">
        <f t="shared" si="3"/>
        <v>0</v>
      </c>
      <c r="D30" s="25">
        <f t="shared" si="0"/>
        <v>36</v>
      </c>
      <c r="E30" s="26">
        <v>0</v>
      </c>
      <c r="F30" s="26">
        <v>0</v>
      </c>
      <c r="G30" s="26">
        <v>0</v>
      </c>
      <c r="H30" s="25">
        <f t="shared" si="4"/>
        <v>11000</v>
      </c>
      <c r="I30" s="26">
        <v>0</v>
      </c>
      <c r="J30" s="26">
        <v>0</v>
      </c>
      <c r="K30" s="27">
        <f t="shared" si="5"/>
        <v>1200</v>
      </c>
      <c r="L30" s="27" t="s">
        <v>18</v>
      </c>
      <c r="M30" s="28">
        <v>1200</v>
      </c>
      <c r="N30" s="29"/>
      <c r="O30" s="25">
        <f t="shared" si="1"/>
        <v>1440</v>
      </c>
      <c r="P30" s="25">
        <f t="shared" si="2"/>
        <v>360</v>
      </c>
    </row>
    <row r="31" spans="2:16" x14ac:dyDescent="0.35">
      <c r="B31" s="30">
        <v>9</v>
      </c>
      <c r="C31" s="25">
        <f t="shared" si="3"/>
        <v>0</v>
      </c>
      <c r="D31" s="25">
        <f t="shared" si="0"/>
        <v>36</v>
      </c>
      <c r="E31" s="26">
        <v>0</v>
      </c>
      <c r="F31" s="26">
        <v>0</v>
      </c>
      <c r="G31" s="26">
        <v>0</v>
      </c>
      <c r="H31" s="25">
        <f t="shared" si="4"/>
        <v>13000</v>
      </c>
      <c r="I31" s="26">
        <v>0</v>
      </c>
      <c r="J31" s="26">
        <v>0</v>
      </c>
      <c r="K31" s="27">
        <f t="shared" si="5"/>
        <v>2000</v>
      </c>
      <c r="L31" s="27" t="s">
        <v>18</v>
      </c>
      <c r="M31" s="28">
        <v>2000</v>
      </c>
      <c r="N31" s="29"/>
      <c r="O31" s="25">
        <f t="shared" si="1"/>
        <v>1440</v>
      </c>
      <c r="P31" s="25">
        <f t="shared" si="2"/>
        <v>360</v>
      </c>
    </row>
    <row r="32" spans="2:16" x14ac:dyDescent="0.35">
      <c r="B32" s="30">
        <v>10</v>
      </c>
      <c r="C32" s="25">
        <f t="shared" si="3"/>
        <v>0</v>
      </c>
      <c r="D32" s="25">
        <f t="shared" si="0"/>
        <v>36</v>
      </c>
      <c r="E32" s="26">
        <v>0</v>
      </c>
      <c r="F32" s="26">
        <v>0</v>
      </c>
      <c r="G32" s="26">
        <v>0</v>
      </c>
      <c r="H32" s="25">
        <f t="shared" si="4"/>
        <v>15500</v>
      </c>
      <c r="I32" s="26">
        <v>0</v>
      </c>
      <c r="J32" s="26">
        <v>0</v>
      </c>
      <c r="K32" s="27">
        <f t="shared" si="5"/>
        <v>2500</v>
      </c>
      <c r="L32" s="27" t="s">
        <v>18</v>
      </c>
      <c r="M32" s="28">
        <v>2500</v>
      </c>
      <c r="N32" s="29"/>
      <c r="O32" s="25">
        <f t="shared" si="1"/>
        <v>1440</v>
      </c>
      <c r="P32" s="25">
        <f t="shared" si="2"/>
        <v>360</v>
      </c>
    </row>
    <row r="33" spans="2:19" x14ac:dyDescent="0.35">
      <c r="B33" s="30">
        <v>11</v>
      </c>
      <c r="C33" s="25">
        <f t="shared" si="3"/>
        <v>0</v>
      </c>
      <c r="D33" s="25">
        <f t="shared" si="0"/>
        <v>36</v>
      </c>
      <c r="E33" s="26">
        <v>0</v>
      </c>
      <c r="F33" s="26">
        <v>0</v>
      </c>
      <c r="G33" s="26">
        <v>0</v>
      </c>
      <c r="H33" s="25">
        <f t="shared" si="4"/>
        <v>18500</v>
      </c>
      <c r="I33" s="26">
        <v>0</v>
      </c>
      <c r="J33" s="26">
        <v>0</v>
      </c>
      <c r="K33" s="27">
        <f t="shared" si="5"/>
        <v>3000</v>
      </c>
      <c r="L33" s="27" t="s">
        <v>18</v>
      </c>
      <c r="M33" s="28">
        <v>3000</v>
      </c>
      <c r="N33" s="29"/>
      <c r="O33" s="25">
        <f t="shared" si="1"/>
        <v>1440</v>
      </c>
      <c r="P33" s="25">
        <f t="shared" si="2"/>
        <v>360</v>
      </c>
    </row>
    <row r="34" spans="2:19" x14ac:dyDescent="0.35">
      <c r="B34" s="30">
        <v>12</v>
      </c>
      <c r="C34" s="25">
        <f t="shared" si="3"/>
        <v>0</v>
      </c>
      <c r="D34" s="25">
        <f t="shared" si="0"/>
        <v>36</v>
      </c>
      <c r="E34" s="26">
        <v>0</v>
      </c>
      <c r="F34" s="26">
        <v>0</v>
      </c>
      <c r="G34" s="26">
        <v>0</v>
      </c>
      <c r="H34" s="25">
        <f t="shared" si="4"/>
        <v>21300</v>
      </c>
      <c r="I34" s="26">
        <v>0</v>
      </c>
      <c r="J34" s="26">
        <v>0</v>
      </c>
      <c r="K34" s="27">
        <f t="shared" si="5"/>
        <v>2800</v>
      </c>
      <c r="L34" s="27" t="s">
        <v>18</v>
      </c>
      <c r="M34" s="28">
        <v>2800</v>
      </c>
      <c r="N34" s="29"/>
      <c r="O34" s="25">
        <f t="shared" si="1"/>
        <v>1440</v>
      </c>
      <c r="P34" s="25">
        <f t="shared" si="2"/>
        <v>360</v>
      </c>
    </row>
    <row r="36" spans="2:19" x14ac:dyDescent="0.35">
      <c r="B36" s="31" t="s">
        <v>22</v>
      </c>
      <c r="C36" s="27">
        <f>SUM(C23:C34)</f>
        <v>0</v>
      </c>
      <c r="D36" s="27">
        <f t="shared" ref="D36:M36" si="6">SUM(D23:D34)</f>
        <v>432</v>
      </c>
      <c r="E36" s="27">
        <f t="shared" si="6"/>
        <v>0</v>
      </c>
      <c r="F36" s="27">
        <f t="shared" si="6"/>
        <v>0</v>
      </c>
      <c r="G36" s="27">
        <f t="shared" si="6"/>
        <v>0</v>
      </c>
      <c r="H36" s="27">
        <f t="shared" si="6"/>
        <v>126170</v>
      </c>
      <c r="I36" s="27">
        <f t="shared" si="6"/>
        <v>0</v>
      </c>
      <c r="J36" s="27">
        <f t="shared" si="6"/>
        <v>0</v>
      </c>
      <c r="K36" s="27"/>
      <c r="L36" s="27"/>
      <c r="M36" s="27">
        <f t="shared" si="6"/>
        <v>21800</v>
      </c>
    </row>
    <row r="39" spans="2:19" x14ac:dyDescent="0.35">
      <c r="S39" t="s">
        <v>45</v>
      </c>
    </row>
  </sheetData>
  <mergeCells count="1">
    <mergeCell ref="E1:G1"/>
  </mergeCells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7B82-7575-4F83-B958-15D437D15DBC}">
  <dimension ref="A1:S39"/>
  <sheetViews>
    <sheetView zoomScale="44" zoomScaleNormal="120" zoomScalePageLayoutView="150" workbookViewId="0">
      <selection activeCell="K22" sqref="K1:K1048576"/>
    </sheetView>
  </sheetViews>
  <sheetFormatPr defaultColWidth="10.6640625" defaultRowHeight="15.5" x14ac:dyDescent="0.35"/>
  <cols>
    <col min="3" max="3" width="12.5" bestFit="1" customWidth="1"/>
    <col min="5" max="5" width="14.1640625" bestFit="1" customWidth="1"/>
    <col min="8" max="9" width="14" customWidth="1"/>
    <col min="11" max="11" width="11.1640625" hidden="1" customWidth="1"/>
    <col min="12" max="12" width="3.33203125" customWidth="1"/>
    <col min="14" max="14" width="3.33203125" customWidth="1"/>
    <col min="15" max="15" width="10.83203125" customWidth="1"/>
    <col min="16" max="16" width="13.1640625" bestFit="1" customWidth="1"/>
  </cols>
  <sheetData>
    <row r="1" spans="1:10" ht="16" thickBot="1" x14ac:dyDescent="0.4">
      <c r="A1" s="2" t="s">
        <v>46</v>
      </c>
      <c r="E1" s="36" t="s">
        <v>21</v>
      </c>
      <c r="F1" s="37"/>
      <c r="G1" s="38"/>
    </row>
    <row r="2" spans="1:10" ht="16" thickBot="1" x14ac:dyDescent="0.4">
      <c r="B2" s="32" t="s">
        <v>19</v>
      </c>
      <c r="C2" s="33">
        <f>SUM(E2:E9)</f>
        <v>7345300</v>
      </c>
      <c r="E2" s="7">
        <f>C18*D36</f>
        <v>1036800</v>
      </c>
      <c r="F2" s="8" t="s">
        <v>7</v>
      </c>
      <c r="G2" s="9"/>
    </row>
    <row r="3" spans="1:10" ht="16" thickBot="1" x14ac:dyDescent="0.4">
      <c r="E3" s="10">
        <f>G36*C19</f>
        <v>0</v>
      </c>
      <c r="F3" s="5" t="s">
        <v>8</v>
      </c>
      <c r="G3" s="11"/>
    </row>
    <row r="4" spans="1:10" ht="16" thickBot="1" x14ac:dyDescent="0.4">
      <c r="B4" s="3" t="s">
        <v>20</v>
      </c>
      <c r="C4" s="4">
        <f>C2/M36</f>
        <v>336.94036697247708</v>
      </c>
      <c r="E4" s="10">
        <f>E36*C15</f>
        <v>0</v>
      </c>
      <c r="F4" s="5" t="s">
        <v>11</v>
      </c>
      <c r="G4" s="11"/>
    </row>
    <row r="5" spans="1:10" x14ac:dyDescent="0.35">
      <c r="C5" s="1"/>
      <c r="E5" s="10">
        <f>F36*C16</f>
        <v>0</v>
      </c>
      <c r="F5" s="5" t="s">
        <v>10</v>
      </c>
      <c r="G5" s="11"/>
    </row>
    <row r="6" spans="1:10" x14ac:dyDescent="0.35">
      <c r="E6" s="10">
        <f>C36*C13</f>
        <v>0</v>
      </c>
      <c r="F6" s="5" t="s">
        <v>43</v>
      </c>
      <c r="G6" s="11"/>
    </row>
    <row r="7" spans="1:10" x14ac:dyDescent="0.35">
      <c r="C7" s="1"/>
      <c r="E7" s="10">
        <f>C14*H36</f>
        <v>6308500</v>
      </c>
      <c r="F7" s="5" t="s">
        <v>9</v>
      </c>
      <c r="G7" s="11"/>
    </row>
    <row r="8" spans="1:10" x14ac:dyDescent="0.35">
      <c r="E8" s="10">
        <f>I36*C12</f>
        <v>0</v>
      </c>
      <c r="F8" s="5" t="s">
        <v>12</v>
      </c>
      <c r="G8" s="11"/>
    </row>
    <row r="9" spans="1:10" ht="16" thickBot="1" x14ac:dyDescent="0.4">
      <c r="E9" s="12">
        <f>J36*C20</f>
        <v>0</v>
      </c>
      <c r="F9" s="13" t="s">
        <v>44</v>
      </c>
      <c r="G9" s="14"/>
    </row>
    <row r="11" spans="1:10" ht="16" thickBot="1" x14ac:dyDescent="0.4">
      <c r="B11" t="s">
        <v>2</v>
      </c>
    </row>
    <row r="12" spans="1:10" x14ac:dyDescent="0.35">
      <c r="C12" s="20">
        <v>75</v>
      </c>
      <c r="D12" s="18" t="s">
        <v>17</v>
      </c>
      <c r="E12" s="18"/>
      <c r="F12" s="18"/>
      <c r="G12" s="21">
        <v>160</v>
      </c>
      <c r="H12" s="18" t="s">
        <v>34</v>
      </c>
      <c r="I12" s="18"/>
      <c r="J12" s="9"/>
    </row>
    <row r="13" spans="1:10" x14ac:dyDescent="0.35">
      <c r="C13" s="15">
        <v>25</v>
      </c>
      <c r="D13" s="6" t="s">
        <v>33</v>
      </c>
      <c r="E13" s="6"/>
      <c r="F13" s="6"/>
      <c r="G13" s="22">
        <v>10</v>
      </c>
      <c r="H13" s="6" t="s">
        <v>35</v>
      </c>
      <c r="I13" s="6"/>
      <c r="J13" s="11"/>
    </row>
    <row r="14" spans="1:10" x14ac:dyDescent="0.35">
      <c r="C14" s="15">
        <v>50</v>
      </c>
      <c r="D14" s="6" t="s">
        <v>15</v>
      </c>
      <c r="E14" s="6"/>
      <c r="F14" s="6"/>
      <c r="G14" s="22">
        <v>500</v>
      </c>
      <c r="H14" s="6" t="s">
        <v>36</v>
      </c>
      <c r="I14" s="6"/>
      <c r="J14" s="11"/>
    </row>
    <row r="15" spans="1:10" x14ac:dyDescent="0.35">
      <c r="C15" s="15">
        <v>1200</v>
      </c>
      <c r="D15" s="6" t="s">
        <v>3</v>
      </c>
      <c r="E15" s="6"/>
      <c r="F15" s="6"/>
      <c r="G15" s="34">
        <v>500</v>
      </c>
      <c r="H15" s="6" t="s">
        <v>37</v>
      </c>
      <c r="I15" s="6"/>
      <c r="J15" s="11"/>
    </row>
    <row r="16" spans="1:10" x14ac:dyDescent="0.35">
      <c r="C16" s="15">
        <v>3600</v>
      </c>
      <c r="D16" s="6" t="s">
        <v>4</v>
      </c>
      <c r="E16" s="6"/>
      <c r="F16" s="6"/>
      <c r="G16" s="22">
        <v>0</v>
      </c>
      <c r="H16" s="6" t="s">
        <v>38</v>
      </c>
      <c r="I16" s="6"/>
      <c r="J16" s="11"/>
    </row>
    <row r="17" spans="2:16" x14ac:dyDescent="0.35">
      <c r="C17" s="16">
        <v>4</v>
      </c>
      <c r="D17" s="6" t="s">
        <v>5</v>
      </c>
      <c r="E17" s="6"/>
      <c r="F17" s="6"/>
      <c r="G17" s="34">
        <v>0</v>
      </c>
      <c r="H17" s="6" t="s">
        <v>39</v>
      </c>
      <c r="I17" s="6"/>
      <c r="J17" s="11"/>
    </row>
    <row r="18" spans="2:16" x14ac:dyDescent="0.35">
      <c r="C18" s="15">
        <v>2400</v>
      </c>
      <c r="D18" s="6" t="s">
        <v>13</v>
      </c>
      <c r="E18" s="6"/>
      <c r="F18" s="6"/>
      <c r="G18" s="22">
        <v>36</v>
      </c>
      <c r="H18" s="6" t="s">
        <v>40</v>
      </c>
      <c r="I18" s="6"/>
      <c r="J18" s="11"/>
    </row>
    <row r="19" spans="2:16" x14ac:dyDescent="0.35">
      <c r="C19" s="15">
        <v>25</v>
      </c>
      <c r="D19" s="6" t="s">
        <v>32</v>
      </c>
      <c r="E19" s="6"/>
      <c r="F19" s="6"/>
      <c r="G19" s="22">
        <v>30</v>
      </c>
      <c r="H19" s="6" t="s">
        <v>41</v>
      </c>
      <c r="I19" s="6"/>
      <c r="J19" s="11"/>
    </row>
    <row r="20" spans="2:16" ht="16" thickBot="1" x14ac:dyDescent="0.4">
      <c r="C20" s="17">
        <v>175</v>
      </c>
      <c r="D20" s="19" t="s">
        <v>6</v>
      </c>
      <c r="E20" s="19"/>
      <c r="F20" s="19"/>
      <c r="G20" s="35">
        <v>36</v>
      </c>
      <c r="H20" s="19" t="s">
        <v>42</v>
      </c>
      <c r="I20" s="19"/>
      <c r="J20" s="14"/>
    </row>
    <row r="22" spans="2:16" s="24" customFormat="1" ht="62" x14ac:dyDescent="0.35">
      <c r="B22" s="23" t="s">
        <v>0</v>
      </c>
      <c r="C22" s="23" t="s">
        <v>16</v>
      </c>
      <c r="D22" s="23" t="s">
        <v>1</v>
      </c>
      <c r="E22" s="23" t="s">
        <v>23</v>
      </c>
      <c r="F22" s="23" t="s">
        <v>24</v>
      </c>
      <c r="G22" s="23" t="s">
        <v>14</v>
      </c>
      <c r="H22" s="23" t="s">
        <v>25</v>
      </c>
      <c r="I22" s="23" t="s">
        <v>26</v>
      </c>
      <c r="J22" s="23" t="s">
        <v>27</v>
      </c>
      <c r="K22" s="23" t="s">
        <v>28</v>
      </c>
      <c r="L22" s="23"/>
      <c r="M22" s="23" t="s">
        <v>29</v>
      </c>
      <c r="O22" s="23" t="s">
        <v>30</v>
      </c>
      <c r="P22" s="23" t="s">
        <v>31</v>
      </c>
    </row>
    <row r="23" spans="2:16" x14ac:dyDescent="0.35">
      <c r="B23" s="30">
        <v>1</v>
      </c>
      <c r="C23" s="25">
        <f>IF(((G15+I23+J23-M23-G16)&gt;0),(G15+I23+J23-M23-G16),0)</f>
        <v>0</v>
      </c>
      <c r="D23" s="25">
        <f>G18+E23-F23</f>
        <v>36</v>
      </c>
      <c r="E23" s="26">
        <v>0</v>
      </c>
      <c r="F23" s="26">
        <v>0</v>
      </c>
      <c r="G23" s="26">
        <v>0</v>
      </c>
      <c r="H23" s="25">
        <f>IF(((G16+M23-G14-J23-I23)&gt;0),(G16+M23-G14-J23-I23),0)</f>
        <v>2300</v>
      </c>
      <c r="I23" s="26">
        <v>0</v>
      </c>
      <c r="J23" s="26">
        <v>0</v>
      </c>
      <c r="K23" s="27">
        <f>G14+I23+J23+H23-G16</f>
        <v>2800</v>
      </c>
      <c r="L23" s="27" t="s">
        <v>18</v>
      </c>
      <c r="M23" s="28">
        <v>2800</v>
      </c>
      <c r="N23" s="29"/>
      <c r="O23" s="25">
        <f>($G$12*D23+G23)/$C$17</f>
        <v>1440</v>
      </c>
      <c r="P23" s="25">
        <f>D23*$G$13</f>
        <v>360</v>
      </c>
    </row>
    <row r="24" spans="2:16" x14ac:dyDescent="0.35">
      <c r="B24" s="30">
        <v>2</v>
      </c>
      <c r="C24" s="25">
        <f>IF(((C23+I24+J24-M24-H23)&gt;0),(C23+I24+J24-M24-H23),0)</f>
        <v>0</v>
      </c>
      <c r="D24" s="25">
        <f t="shared" ref="D24:D34" si="0">D23+E24-F24</f>
        <v>36</v>
      </c>
      <c r="E24" s="26">
        <v>0</v>
      </c>
      <c r="F24" s="26">
        <v>0</v>
      </c>
      <c r="G24" s="26">
        <v>0</v>
      </c>
      <c r="H24" s="25">
        <f>IF(((H23+M24-C23-I24-J24)&gt;0),(H23+M24-C23-I24-J24),0)</f>
        <v>5100</v>
      </c>
      <c r="I24" s="26">
        <v>0</v>
      </c>
      <c r="J24" s="26">
        <v>0</v>
      </c>
      <c r="K24" s="27">
        <f>C23+I24+J24+H24-H23</f>
        <v>2800</v>
      </c>
      <c r="L24" s="27" t="s">
        <v>18</v>
      </c>
      <c r="M24" s="28">
        <v>2800</v>
      </c>
      <c r="N24" s="29"/>
      <c r="O24" s="25">
        <f t="shared" ref="O24:O34" si="1">($G$12*D24+G24)/$C$17</f>
        <v>1440</v>
      </c>
      <c r="P24" s="25">
        <f t="shared" ref="P24:P34" si="2">D24*$G$13</f>
        <v>360</v>
      </c>
    </row>
    <row r="25" spans="2:16" x14ac:dyDescent="0.35">
      <c r="B25" s="30">
        <v>3</v>
      </c>
      <c r="C25" s="25">
        <f t="shared" ref="C25:C34" si="3">IF(((C24+I25+J25-M25-H24)&gt;0),(C24+I25+J25-M25-H24),0)</f>
        <v>0</v>
      </c>
      <c r="D25" s="25">
        <f t="shared" si="0"/>
        <v>36</v>
      </c>
      <c r="E25" s="26">
        <v>0</v>
      </c>
      <c r="F25" s="26">
        <v>0</v>
      </c>
      <c r="G25" s="26">
        <v>0</v>
      </c>
      <c r="H25" s="25">
        <f t="shared" ref="H25:H34" si="4">IF(((H24+M25-C24-I25-J25)&gt;0),(H24+M25-C24-I25-J25),0)</f>
        <v>6100</v>
      </c>
      <c r="I25" s="26">
        <v>0</v>
      </c>
      <c r="J25" s="26">
        <v>0</v>
      </c>
      <c r="K25" s="27">
        <f t="shared" ref="K25:K34" si="5">C24+I25+J25+H25-H24</f>
        <v>1000</v>
      </c>
      <c r="L25" s="27" t="s">
        <v>18</v>
      </c>
      <c r="M25" s="28">
        <v>1000</v>
      </c>
      <c r="N25" s="29"/>
      <c r="O25" s="25">
        <f t="shared" si="1"/>
        <v>1440</v>
      </c>
      <c r="P25" s="25">
        <f t="shared" si="2"/>
        <v>360</v>
      </c>
    </row>
    <row r="26" spans="2:16" x14ac:dyDescent="0.35">
      <c r="B26" s="30">
        <v>4</v>
      </c>
      <c r="C26" s="25">
        <f t="shared" si="3"/>
        <v>0</v>
      </c>
      <c r="D26" s="25">
        <f t="shared" si="0"/>
        <v>36</v>
      </c>
      <c r="E26" s="26">
        <v>0</v>
      </c>
      <c r="F26" s="26">
        <v>0</v>
      </c>
      <c r="G26" s="26">
        <v>0</v>
      </c>
      <c r="H26" s="25">
        <f t="shared" si="4"/>
        <v>7020</v>
      </c>
      <c r="I26" s="26">
        <v>0</v>
      </c>
      <c r="J26" s="26">
        <v>0</v>
      </c>
      <c r="K26" s="27">
        <f t="shared" si="5"/>
        <v>920</v>
      </c>
      <c r="L26" s="27" t="s">
        <v>18</v>
      </c>
      <c r="M26" s="28">
        <v>920</v>
      </c>
      <c r="N26" s="29"/>
      <c r="O26" s="25">
        <f t="shared" si="1"/>
        <v>1440</v>
      </c>
      <c r="P26" s="25">
        <f t="shared" si="2"/>
        <v>360</v>
      </c>
    </row>
    <row r="27" spans="2:16" x14ac:dyDescent="0.35">
      <c r="B27" s="30">
        <v>5</v>
      </c>
      <c r="C27" s="25">
        <f t="shared" si="3"/>
        <v>0</v>
      </c>
      <c r="D27" s="25">
        <f t="shared" si="0"/>
        <v>36</v>
      </c>
      <c r="E27" s="26">
        <v>0</v>
      </c>
      <c r="F27" s="26">
        <v>0</v>
      </c>
      <c r="G27" s="26">
        <v>0</v>
      </c>
      <c r="H27" s="25">
        <f t="shared" si="4"/>
        <v>7800</v>
      </c>
      <c r="I27" s="26">
        <v>0</v>
      </c>
      <c r="J27" s="26">
        <v>0</v>
      </c>
      <c r="K27" s="27">
        <f t="shared" si="5"/>
        <v>780</v>
      </c>
      <c r="L27" s="27" t="s">
        <v>18</v>
      </c>
      <c r="M27" s="28">
        <v>780</v>
      </c>
      <c r="N27" s="29"/>
      <c r="O27" s="25">
        <f t="shared" si="1"/>
        <v>1440</v>
      </c>
      <c r="P27" s="25">
        <f t="shared" si="2"/>
        <v>360</v>
      </c>
    </row>
    <row r="28" spans="2:16" x14ac:dyDescent="0.35">
      <c r="B28" s="30">
        <v>6</v>
      </c>
      <c r="C28" s="25">
        <f t="shared" si="3"/>
        <v>0</v>
      </c>
      <c r="D28" s="25">
        <f t="shared" si="0"/>
        <v>36</v>
      </c>
      <c r="E28" s="26">
        <v>0</v>
      </c>
      <c r="F28" s="26">
        <v>0</v>
      </c>
      <c r="G28" s="26">
        <v>0</v>
      </c>
      <c r="H28" s="25">
        <f t="shared" si="4"/>
        <v>8750</v>
      </c>
      <c r="I28" s="26">
        <v>0</v>
      </c>
      <c r="J28" s="26">
        <v>0</v>
      </c>
      <c r="K28" s="27">
        <f t="shared" si="5"/>
        <v>950</v>
      </c>
      <c r="L28" s="27" t="s">
        <v>18</v>
      </c>
      <c r="M28" s="28">
        <v>950</v>
      </c>
      <c r="N28" s="29"/>
      <c r="O28" s="25">
        <f t="shared" si="1"/>
        <v>1440</v>
      </c>
      <c r="P28" s="25">
        <f t="shared" si="2"/>
        <v>360</v>
      </c>
    </row>
    <row r="29" spans="2:16" x14ac:dyDescent="0.35">
      <c r="B29" s="30">
        <v>7</v>
      </c>
      <c r="C29" s="25">
        <f t="shared" si="3"/>
        <v>0</v>
      </c>
      <c r="D29" s="25">
        <f t="shared" si="0"/>
        <v>36</v>
      </c>
      <c r="E29" s="26">
        <v>0</v>
      </c>
      <c r="F29" s="26">
        <v>0</v>
      </c>
      <c r="G29" s="26">
        <v>0</v>
      </c>
      <c r="H29" s="25">
        <f t="shared" si="4"/>
        <v>9800</v>
      </c>
      <c r="I29" s="26">
        <v>0</v>
      </c>
      <c r="J29" s="26">
        <v>0</v>
      </c>
      <c r="K29" s="27">
        <f t="shared" si="5"/>
        <v>1050</v>
      </c>
      <c r="L29" s="27" t="s">
        <v>18</v>
      </c>
      <c r="M29" s="28">
        <v>1050</v>
      </c>
      <c r="N29" s="29"/>
      <c r="O29" s="25">
        <f t="shared" si="1"/>
        <v>1440</v>
      </c>
      <c r="P29" s="25">
        <f t="shared" si="2"/>
        <v>360</v>
      </c>
    </row>
    <row r="30" spans="2:16" x14ac:dyDescent="0.35">
      <c r="B30" s="30">
        <v>8</v>
      </c>
      <c r="C30" s="25">
        <f t="shared" si="3"/>
        <v>0</v>
      </c>
      <c r="D30" s="25">
        <f t="shared" si="0"/>
        <v>36</v>
      </c>
      <c r="E30" s="26">
        <v>0</v>
      </c>
      <c r="F30" s="26">
        <v>0</v>
      </c>
      <c r="G30" s="26">
        <v>0</v>
      </c>
      <c r="H30" s="25">
        <f t="shared" si="4"/>
        <v>11000</v>
      </c>
      <c r="I30" s="26">
        <v>0</v>
      </c>
      <c r="J30" s="26">
        <v>0</v>
      </c>
      <c r="K30" s="27">
        <f t="shared" si="5"/>
        <v>1200</v>
      </c>
      <c r="L30" s="27" t="s">
        <v>18</v>
      </c>
      <c r="M30" s="28">
        <v>1200</v>
      </c>
      <c r="N30" s="29"/>
      <c r="O30" s="25">
        <f t="shared" si="1"/>
        <v>1440</v>
      </c>
      <c r="P30" s="25">
        <f t="shared" si="2"/>
        <v>360</v>
      </c>
    </row>
    <row r="31" spans="2:16" x14ac:dyDescent="0.35">
      <c r="B31" s="30">
        <v>9</v>
      </c>
      <c r="C31" s="25">
        <f t="shared" si="3"/>
        <v>0</v>
      </c>
      <c r="D31" s="25">
        <f t="shared" si="0"/>
        <v>36</v>
      </c>
      <c r="E31" s="26">
        <v>0</v>
      </c>
      <c r="F31" s="26">
        <v>0</v>
      </c>
      <c r="G31" s="26">
        <v>0</v>
      </c>
      <c r="H31" s="25">
        <f t="shared" si="4"/>
        <v>13000</v>
      </c>
      <c r="I31" s="26">
        <v>0</v>
      </c>
      <c r="J31" s="26">
        <v>0</v>
      </c>
      <c r="K31" s="27">
        <f t="shared" si="5"/>
        <v>2000</v>
      </c>
      <c r="L31" s="27" t="s">
        <v>18</v>
      </c>
      <c r="M31" s="28">
        <v>2000</v>
      </c>
      <c r="N31" s="29"/>
      <c r="O31" s="25">
        <f t="shared" si="1"/>
        <v>1440</v>
      </c>
      <c r="P31" s="25">
        <f t="shared" si="2"/>
        <v>360</v>
      </c>
    </row>
    <row r="32" spans="2:16" x14ac:dyDescent="0.35">
      <c r="B32" s="30">
        <v>10</v>
      </c>
      <c r="C32" s="25">
        <f t="shared" si="3"/>
        <v>0</v>
      </c>
      <c r="D32" s="25">
        <f t="shared" si="0"/>
        <v>36</v>
      </c>
      <c r="E32" s="26">
        <v>0</v>
      </c>
      <c r="F32" s="26">
        <v>0</v>
      </c>
      <c r="G32" s="26">
        <v>0</v>
      </c>
      <c r="H32" s="25">
        <f t="shared" si="4"/>
        <v>15500</v>
      </c>
      <c r="I32" s="26">
        <v>0</v>
      </c>
      <c r="J32" s="26">
        <v>0</v>
      </c>
      <c r="K32" s="27">
        <f t="shared" si="5"/>
        <v>2500</v>
      </c>
      <c r="L32" s="27" t="s">
        <v>18</v>
      </c>
      <c r="M32" s="28">
        <v>2500</v>
      </c>
      <c r="N32" s="29"/>
      <c r="O32" s="25">
        <f t="shared" si="1"/>
        <v>1440</v>
      </c>
      <c r="P32" s="25">
        <f t="shared" si="2"/>
        <v>360</v>
      </c>
    </row>
    <row r="33" spans="2:19" x14ac:dyDescent="0.35">
      <c r="B33" s="30">
        <v>11</v>
      </c>
      <c r="C33" s="25">
        <f t="shared" si="3"/>
        <v>0</v>
      </c>
      <c r="D33" s="25">
        <f t="shared" si="0"/>
        <v>36</v>
      </c>
      <c r="E33" s="26">
        <v>0</v>
      </c>
      <c r="F33" s="26">
        <v>0</v>
      </c>
      <c r="G33" s="26">
        <v>0</v>
      </c>
      <c r="H33" s="25">
        <f t="shared" si="4"/>
        <v>18500</v>
      </c>
      <c r="I33" s="26">
        <v>0</v>
      </c>
      <c r="J33" s="26">
        <v>0</v>
      </c>
      <c r="K33" s="27">
        <f t="shared" si="5"/>
        <v>3000</v>
      </c>
      <c r="L33" s="27" t="s">
        <v>18</v>
      </c>
      <c r="M33" s="28">
        <v>3000</v>
      </c>
      <c r="N33" s="29"/>
      <c r="O33" s="25">
        <f t="shared" si="1"/>
        <v>1440</v>
      </c>
      <c r="P33" s="25">
        <f t="shared" si="2"/>
        <v>360</v>
      </c>
    </row>
    <row r="34" spans="2:19" x14ac:dyDescent="0.35">
      <c r="B34" s="30">
        <v>12</v>
      </c>
      <c r="C34" s="25">
        <f t="shared" si="3"/>
        <v>0</v>
      </c>
      <c r="D34" s="25">
        <f t="shared" si="0"/>
        <v>36</v>
      </c>
      <c r="E34" s="26">
        <v>0</v>
      </c>
      <c r="F34" s="26">
        <v>0</v>
      </c>
      <c r="G34" s="26">
        <v>0</v>
      </c>
      <c r="H34" s="25">
        <f t="shared" si="4"/>
        <v>21300</v>
      </c>
      <c r="I34" s="26">
        <v>0</v>
      </c>
      <c r="J34" s="26">
        <v>0</v>
      </c>
      <c r="K34" s="27">
        <f t="shared" si="5"/>
        <v>2800</v>
      </c>
      <c r="L34" s="27" t="s">
        <v>18</v>
      </c>
      <c r="M34" s="28">
        <v>2800</v>
      </c>
      <c r="N34" s="29"/>
      <c r="O34" s="25">
        <f t="shared" si="1"/>
        <v>1440</v>
      </c>
      <c r="P34" s="25">
        <f t="shared" si="2"/>
        <v>360</v>
      </c>
    </row>
    <row r="36" spans="2:19" x14ac:dyDescent="0.35">
      <c r="B36" s="31" t="s">
        <v>22</v>
      </c>
      <c r="C36" s="27">
        <f>SUM(C23:C34)</f>
        <v>0</v>
      </c>
      <c r="D36" s="27">
        <f t="shared" ref="D36:M36" si="6">SUM(D23:D34)</f>
        <v>432</v>
      </c>
      <c r="E36" s="27">
        <f t="shared" si="6"/>
        <v>0</v>
      </c>
      <c r="F36" s="27">
        <f t="shared" si="6"/>
        <v>0</v>
      </c>
      <c r="G36" s="27">
        <f t="shared" si="6"/>
        <v>0</v>
      </c>
      <c r="H36" s="27">
        <f t="shared" si="6"/>
        <v>126170</v>
      </c>
      <c r="I36" s="27">
        <f t="shared" si="6"/>
        <v>0</v>
      </c>
      <c r="J36" s="27">
        <f t="shared" si="6"/>
        <v>0</v>
      </c>
      <c r="K36" s="27"/>
      <c r="L36" s="27"/>
      <c r="M36" s="27">
        <f t="shared" si="6"/>
        <v>21800</v>
      </c>
    </row>
    <row r="39" spans="2:19" x14ac:dyDescent="0.35">
      <c r="S39" t="s">
        <v>45</v>
      </c>
    </row>
  </sheetData>
  <mergeCells count="1">
    <mergeCell ref="E1:G1"/>
  </mergeCells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EDE5-E895-441D-AE71-FA2FDA3261F7}">
  <dimension ref="A1:S39"/>
  <sheetViews>
    <sheetView zoomScale="68" zoomScaleNormal="120" zoomScalePageLayoutView="150" workbookViewId="0">
      <selection activeCell="K22" sqref="K1:K1048576"/>
    </sheetView>
  </sheetViews>
  <sheetFormatPr defaultColWidth="10.6640625" defaultRowHeight="15.5" x14ac:dyDescent="0.35"/>
  <cols>
    <col min="3" max="3" width="12.5" bestFit="1" customWidth="1"/>
    <col min="5" max="5" width="14.1640625" bestFit="1" customWidth="1"/>
    <col min="8" max="9" width="14" customWidth="1"/>
    <col min="11" max="11" width="11.1640625" hidden="1" customWidth="1"/>
    <col min="12" max="12" width="3.33203125" customWidth="1"/>
    <col min="14" max="14" width="3.33203125" customWidth="1"/>
    <col min="15" max="15" width="10.83203125" customWidth="1"/>
    <col min="16" max="16" width="13.1640625" bestFit="1" customWidth="1"/>
  </cols>
  <sheetData>
    <row r="1" spans="1:10" ht="16" thickBot="1" x14ac:dyDescent="0.4">
      <c r="A1" s="2" t="s">
        <v>46</v>
      </c>
      <c r="E1" s="36" t="s">
        <v>21</v>
      </c>
      <c r="F1" s="37"/>
      <c r="G1" s="38"/>
    </row>
    <row r="2" spans="1:10" ht="16" thickBot="1" x14ac:dyDescent="0.4">
      <c r="B2" s="32" t="s">
        <v>19</v>
      </c>
      <c r="C2" s="33">
        <f>SUM(E2:E9)</f>
        <v>7345300</v>
      </c>
      <c r="E2" s="7">
        <f>C18*D36</f>
        <v>1036800</v>
      </c>
      <c r="F2" s="8" t="s">
        <v>7</v>
      </c>
      <c r="G2" s="9"/>
    </row>
    <row r="3" spans="1:10" ht="16" thickBot="1" x14ac:dyDescent="0.4">
      <c r="E3" s="10">
        <f>G36*C19</f>
        <v>0</v>
      </c>
      <c r="F3" s="5" t="s">
        <v>8</v>
      </c>
      <c r="G3" s="11"/>
    </row>
    <row r="4" spans="1:10" ht="16" thickBot="1" x14ac:dyDescent="0.4">
      <c r="B4" s="3" t="s">
        <v>20</v>
      </c>
      <c r="C4" s="4">
        <f>C2/M36</f>
        <v>336.94036697247708</v>
      </c>
      <c r="E4" s="10">
        <f>E36*C15</f>
        <v>0</v>
      </c>
      <c r="F4" s="5" t="s">
        <v>11</v>
      </c>
      <c r="G4" s="11"/>
    </row>
    <row r="5" spans="1:10" x14ac:dyDescent="0.35">
      <c r="C5" s="1"/>
      <c r="E5" s="10">
        <f>F36*C16</f>
        <v>0</v>
      </c>
      <c r="F5" s="5" t="s">
        <v>10</v>
      </c>
      <c r="G5" s="11"/>
    </row>
    <row r="6" spans="1:10" x14ac:dyDescent="0.35">
      <c r="E6" s="10">
        <f>C36*C13</f>
        <v>0</v>
      </c>
      <c r="F6" s="5" t="s">
        <v>43</v>
      </c>
      <c r="G6" s="11"/>
    </row>
    <row r="7" spans="1:10" x14ac:dyDescent="0.35">
      <c r="C7" s="1"/>
      <c r="E7" s="10">
        <f>C14*H36</f>
        <v>6308500</v>
      </c>
      <c r="F7" s="5" t="s">
        <v>9</v>
      </c>
      <c r="G7" s="11"/>
    </row>
    <row r="8" spans="1:10" x14ac:dyDescent="0.35">
      <c r="E8" s="10">
        <f>I36*C12</f>
        <v>0</v>
      </c>
      <c r="F8" s="5" t="s">
        <v>12</v>
      </c>
      <c r="G8" s="11"/>
    </row>
    <row r="9" spans="1:10" ht="16" thickBot="1" x14ac:dyDescent="0.4">
      <c r="E9" s="12">
        <f>J36*C20</f>
        <v>0</v>
      </c>
      <c r="F9" s="13" t="s">
        <v>44</v>
      </c>
      <c r="G9" s="14"/>
    </row>
    <row r="11" spans="1:10" ht="16" thickBot="1" x14ac:dyDescent="0.4">
      <c r="B11" t="s">
        <v>2</v>
      </c>
    </row>
    <row r="12" spans="1:10" x14ac:dyDescent="0.35">
      <c r="C12" s="20">
        <v>75</v>
      </c>
      <c r="D12" s="18" t="s">
        <v>17</v>
      </c>
      <c r="E12" s="18"/>
      <c r="F12" s="18"/>
      <c r="G12" s="21">
        <v>160</v>
      </c>
      <c r="H12" s="18" t="s">
        <v>34</v>
      </c>
      <c r="I12" s="18"/>
      <c r="J12" s="9"/>
    </row>
    <row r="13" spans="1:10" x14ac:dyDescent="0.35">
      <c r="C13" s="15">
        <v>25</v>
      </c>
      <c r="D13" s="6" t="s">
        <v>33</v>
      </c>
      <c r="E13" s="6"/>
      <c r="F13" s="6"/>
      <c r="G13" s="22">
        <v>10</v>
      </c>
      <c r="H13" s="6" t="s">
        <v>35</v>
      </c>
      <c r="I13" s="6"/>
      <c r="J13" s="11"/>
    </row>
    <row r="14" spans="1:10" x14ac:dyDescent="0.35">
      <c r="C14" s="15">
        <v>50</v>
      </c>
      <c r="D14" s="6" t="s">
        <v>15</v>
      </c>
      <c r="E14" s="6"/>
      <c r="F14" s="6"/>
      <c r="G14" s="22">
        <v>500</v>
      </c>
      <c r="H14" s="6" t="s">
        <v>36</v>
      </c>
      <c r="I14" s="6"/>
      <c r="J14" s="11"/>
    </row>
    <row r="15" spans="1:10" x14ac:dyDescent="0.35">
      <c r="C15" s="15">
        <v>1200</v>
      </c>
      <c r="D15" s="6" t="s">
        <v>3</v>
      </c>
      <c r="E15" s="6"/>
      <c r="F15" s="6"/>
      <c r="G15" s="34">
        <v>500</v>
      </c>
      <c r="H15" s="6" t="s">
        <v>37</v>
      </c>
      <c r="I15" s="6"/>
      <c r="J15" s="11"/>
    </row>
    <row r="16" spans="1:10" x14ac:dyDescent="0.35">
      <c r="C16" s="15">
        <v>3600</v>
      </c>
      <c r="D16" s="6" t="s">
        <v>4</v>
      </c>
      <c r="E16" s="6"/>
      <c r="F16" s="6"/>
      <c r="G16" s="22">
        <v>0</v>
      </c>
      <c r="H16" s="6" t="s">
        <v>38</v>
      </c>
      <c r="I16" s="6"/>
      <c r="J16" s="11"/>
    </row>
    <row r="17" spans="2:16" x14ac:dyDescent="0.35">
      <c r="C17" s="16">
        <v>4</v>
      </c>
      <c r="D17" s="6" t="s">
        <v>5</v>
      </c>
      <c r="E17" s="6"/>
      <c r="F17" s="6"/>
      <c r="G17" s="34">
        <v>0</v>
      </c>
      <c r="H17" s="6" t="s">
        <v>39</v>
      </c>
      <c r="I17" s="6"/>
      <c r="J17" s="11"/>
    </row>
    <row r="18" spans="2:16" x14ac:dyDescent="0.35">
      <c r="C18" s="15">
        <v>2400</v>
      </c>
      <c r="D18" s="6" t="s">
        <v>13</v>
      </c>
      <c r="E18" s="6"/>
      <c r="F18" s="6"/>
      <c r="G18" s="22">
        <v>36</v>
      </c>
      <c r="H18" s="6" t="s">
        <v>40</v>
      </c>
      <c r="I18" s="6"/>
      <c r="J18" s="11"/>
    </row>
    <row r="19" spans="2:16" x14ac:dyDescent="0.35">
      <c r="C19" s="15">
        <v>25</v>
      </c>
      <c r="D19" s="6" t="s">
        <v>32</v>
      </c>
      <c r="E19" s="6"/>
      <c r="F19" s="6"/>
      <c r="G19" s="22">
        <v>30</v>
      </c>
      <c r="H19" s="6" t="s">
        <v>41</v>
      </c>
      <c r="I19" s="6"/>
      <c r="J19" s="11"/>
    </row>
    <row r="20" spans="2:16" ht="16" thickBot="1" x14ac:dyDescent="0.4">
      <c r="C20" s="17">
        <v>175</v>
      </c>
      <c r="D20" s="19" t="s">
        <v>6</v>
      </c>
      <c r="E20" s="19"/>
      <c r="F20" s="19"/>
      <c r="G20" s="35">
        <v>36</v>
      </c>
      <c r="H20" s="19" t="s">
        <v>42</v>
      </c>
      <c r="I20" s="19"/>
      <c r="J20" s="14"/>
    </row>
    <row r="22" spans="2:16" s="24" customFormat="1" ht="62" x14ac:dyDescent="0.35">
      <c r="B22" s="23" t="s">
        <v>0</v>
      </c>
      <c r="C22" s="23" t="s">
        <v>16</v>
      </c>
      <c r="D22" s="23" t="s">
        <v>1</v>
      </c>
      <c r="E22" s="23" t="s">
        <v>23</v>
      </c>
      <c r="F22" s="23" t="s">
        <v>24</v>
      </c>
      <c r="G22" s="23" t="s">
        <v>14</v>
      </c>
      <c r="H22" s="23" t="s">
        <v>25</v>
      </c>
      <c r="I22" s="23" t="s">
        <v>26</v>
      </c>
      <c r="J22" s="23" t="s">
        <v>27</v>
      </c>
      <c r="K22" s="23" t="s">
        <v>28</v>
      </c>
      <c r="L22" s="23"/>
      <c r="M22" s="23" t="s">
        <v>29</v>
      </c>
      <c r="O22" s="23" t="s">
        <v>30</v>
      </c>
      <c r="P22" s="23" t="s">
        <v>31</v>
      </c>
    </row>
    <row r="23" spans="2:16" x14ac:dyDescent="0.35">
      <c r="B23" s="30">
        <v>1</v>
      </c>
      <c r="C23" s="25">
        <f>IF(((G15+I23+J23-M23-G16)&gt;0),(G15+I23+J23-M23-G16),0)</f>
        <v>0</v>
      </c>
      <c r="D23" s="25">
        <f>G18+E23-F23</f>
        <v>36</v>
      </c>
      <c r="E23" s="26">
        <v>0</v>
      </c>
      <c r="F23" s="26">
        <v>0</v>
      </c>
      <c r="G23" s="26">
        <v>0</v>
      </c>
      <c r="H23" s="25">
        <f>IF(((G16+M23-G14-J23-I23)&gt;0),(G16+M23-G14-J23-I23),0)</f>
        <v>2300</v>
      </c>
      <c r="I23" s="26">
        <v>0</v>
      </c>
      <c r="J23" s="26">
        <v>0</v>
      </c>
      <c r="K23" s="27">
        <f>G14+I23+J23+H23-G16</f>
        <v>2800</v>
      </c>
      <c r="L23" s="27" t="s">
        <v>18</v>
      </c>
      <c r="M23" s="28">
        <v>2800</v>
      </c>
      <c r="N23" s="29"/>
      <c r="O23" s="25">
        <f>($G$12*D23+G23)/$C$17</f>
        <v>1440</v>
      </c>
      <c r="P23" s="25">
        <f>D23*$G$13</f>
        <v>360</v>
      </c>
    </row>
    <row r="24" spans="2:16" x14ac:dyDescent="0.35">
      <c r="B24" s="30">
        <v>2</v>
      </c>
      <c r="C24" s="25">
        <f>IF(((C23+I24+J24-M24-H23)&gt;0),(C23+I24+J24-M24-H23),0)</f>
        <v>0</v>
      </c>
      <c r="D24" s="25">
        <f t="shared" ref="D24:D34" si="0">D23+E24-F24</f>
        <v>36</v>
      </c>
      <c r="E24" s="26">
        <v>0</v>
      </c>
      <c r="F24" s="26">
        <v>0</v>
      </c>
      <c r="G24" s="26">
        <v>0</v>
      </c>
      <c r="H24" s="25">
        <f>IF(((H23+M24-C23-I24-J24)&gt;0),(H23+M24-C23-I24-J24),0)</f>
        <v>5100</v>
      </c>
      <c r="I24" s="26">
        <v>0</v>
      </c>
      <c r="J24" s="26">
        <v>0</v>
      </c>
      <c r="K24" s="27">
        <f>C23+I24+J24+H24-H23</f>
        <v>2800</v>
      </c>
      <c r="L24" s="27" t="s">
        <v>18</v>
      </c>
      <c r="M24" s="28">
        <v>2800</v>
      </c>
      <c r="N24" s="29"/>
      <c r="O24" s="25">
        <f t="shared" ref="O24:O34" si="1">($G$12*D24+G24)/$C$17</f>
        <v>1440</v>
      </c>
      <c r="P24" s="25">
        <f t="shared" ref="P24:P34" si="2">D24*$G$13</f>
        <v>360</v>
      </c>
    </row>
    <row r="25" spans="2:16" x14ac:dyDescent="0.35">
      <c r="B25" s="30">
        <v>3</v>
      </c>
      <c r="C25" s="25">
        <f t="shared" ref="C25:C34" si="3">IF(((C24+I25+J25-M25-H24)&gt;0),(C24+I25+J25-M25-H24),0)</f>
        <v>0</v>
      </c>
      <c r="D25" s="25">
        <f t="shared" si="0"/>
        <v>36</v>
      </c>
      <c r="E25" s="26">
        <v>0</v>
      </c>
      <c r="F25" s="26">
        <v>0</v>
      </c>
      <c r="G25" s="26">
        <v>0</v>
      </c>
      <c r="H25" s="25">
        <f t="shared" ref="H25:H34" si="4">IF(((H24+M25-C24-I25-J25)&gt;0),(H24+M25-C24-I25-J25),0)</f>
        <v>6100</v>
      </c>
      <c r="I25" s="26">
        <v>0</v>
      </c>
      <c r="J25" s="26">
        <v>0</v>
      </c>
      <c r="K25" s="27">
        <f t="shared" ref="K25:K34" si="5">C24+I25+J25+H25-H24</f>
        <v>1000</v>
      </c>
      <c r="L25" s="27" t="s">
        <v>18</v>
      </c>
      <c r="M25" s="28">
        <v>1000</v>
      </c>
      <c r="N25" s="29"/>
      <c r="O25" s="25">
        <f t="shared" si="1"/>
        <v>1440</v>
      </c>
      <c r="P25" s="25">
        <f t="shared" si="2"/>
        <v>360</v>
      </c>
    </row>
    <row r="26" spans="2:16" x14ac:dyDescent="0.35">
      <c r="B26" s="30">
        <v>4</v>
      </c>
      <c r="C26" s="25">
        <f t="shared" si="3"/>
        <v>0</v>
      </c>
      <c r="D26" s="25">
        <f t="shared" si="0"/>
        <v>36</v>
      </c>
      <c r="E26" s="26">
        <v>0</v>
      </c>
      <c r="F26" s="26">
        <v>0</v>
      </c>
      <c r="G26" s="26">
        <v>0</v>
      </c>
      <c r="H26" s="25">
        <f t="shared" si="4"/>
        <v>7020</v>
      </c>
      <c r="I26" s="26">
        <v>0</v>
      </c>
      <c r="J26" s="26">
        <v>0</v>
      </c>
      <c r="K26" s="27">
        <f t="shared" si="5"/>
        <v>920</v>
      </c>
      <c r="L26" s="27" t="s">
        <v>18</v>
      </c>
      <c r="M26" s="28">
        <v>920</v>
      </c>
      <c r="N26" s="29"/>
      <c r="O26" s="25">
        <f t="shared" si="1"/>
        <v>1440</v>
      </c>
      <c r="P26" s="25">
        <f t="shared" si="2"/>
        <v>360</v>
      </c>
    </row>
    <row r="27" spans="2:16" x14ac:dyDescent="0.35">
      <c r="B27" s="30">
        <v>5</v>
      </c>
      <c r="C27" s="25">
        <f t="shared" si="3"/>
        <v>0</v>
      </c>
      <c r="D27" s="25">
        <f t="shared" si="0"/>
        <v>36</v>
      </c>
      <c r="E27" s="26">
        <v>0</v>
      </c>
      <c r="F27" s="26">
        <v>0</v>
      </c>
      <c r="G27" s="26">
        <v>0</v>
      </c>
      <c r="H27" s="25">
        <f t="shared" si="4"/>
        <v>7800</v>
      </c>
      <c r="I27" s="26">
        <v>0</v>
      </c>
      <c r="J27" s="26">
        <v>0</v>
      </c>
      <c r="K27" s="27">
        <f t="shared" si="5"/>
        <v>780</v>
      </c>
      <c r="L27" s="27" t="s">
        <v>18</v>
      </c>
      <c r="M27" s="28">
        <v>780</v>
      </c>
      <c r="N27" s="29"/>
      <c r="O27" s="25">
        <f t="shared" si="1"/>
        <v>1440</v>
      </c>
      <c r="P27" s="25">
        <f t="shared" si="2"/>
        <v>360</v>
      </c>
    </row>
    <row r="28" spans="2:16" x14ac:dyDescent="0.35">
      <c r="B28" s="30">
        <v>6</v>
      </c>
      <c r="C28" s="25">
        <f t="shared" si="3"/>
        <v>0</v>
      </c>
      <c r="D28" s="25">
        <f t="shared" si="0"/>
        <v>36</v>
      </c>
      <c r="E28" s="26">
        <v>0</v>
      </c>
      <c r="F28" s="26">
        <v>0</v>
      </c>
      <c r="G28" s="26">
        <v>0</v>
      </c>
      <c r="H28" s="25">
        <f t="shared" si="4"/>
        <v>8750</v>
      </c>
      <c r="I28" s="26">
        <v>0</v>
      </c>
      <c r="J28" s="26">
        <v>0</v>
      </c>
      <c r="K28" s="27">
        <f t="shared" si="5"/>
        <v>950</v>
      </c>
      <c r="L28" s="27" t="s">
        <v>18</v>
      </c>
      <c r="M28" s="28">
        <v>950</v>
      </c>
      <c r="N28" s="29"/>
      <c r="O28" s="25">
        <f t="shared" si="1"/>
        <v>1440</v>
      </c>
      <c r="P28" s="25">
        <f t="shared" si="2"/>
        <v>360</v>
      </c>
    </row>
    <row r="29" spans="2:16" x14ac:dyDescent="0.35">
      <c r="B29" s="30">
        <v>7</v>
      </c>
      <c r="C29" s="25">
        <f t="shared" si="3"/>
        <v>0</v>
      </c>
      <c r="D29" s="25">
        <f t="shared" si="0"/>
        <v>36</v>
      </c>
      <c r="E29" s="26">
        <v>0</v>
      </c>
      <c r="F29" s="26">
        <v>0</v>
      </c>
      <c r="G29" s="26">
        <v>0</v>
      </c>
      <c r="H29" s="25">
        <f t="shared" si="4"/>
        <v>9800</v>
      </c>
      <c r="I29" s="26">
        <v>0</v>
      </c>
      <c r="J29" s="26">
        <v>0</v>
      </c>
      <c r="K29" s="27">
        <f t="shared" si="5"/>
        <v>1050</v>
      </c>
      <c r="L29" s="27" t="s">
        <v>18</v>
      </c>
      <c r="M29" s="28">
        <v>1050</v>
      </c>
      <c r="N29" s="29"/>
      <c r="O29" s="25">
        <f t="shared" si="1"/>
        <v>1440</v>
      </c>
      <c r="P29" s="25">
        <f t="shared" si="2"/>
        <v>360</v>
      </c>
    </row>
    <row r="30" spans="2:16" x14ac:dyDescent="0.35">
      <c r="B30" s="30">
        <v>8</v>
      </c>
      <c r="C30" s="25">
        <f t="shared" si="3"/>
        <v>0</v>
      </c>
      <c r="D30" s="25">
        <f t="shared" si="0"/>
        <v>36</v>
      </c>
      <c r="E30" s="26">
        <v>0</v>
      </c>
      <c r="F30" s="26">
        <v>0</v>
      </c>
      <c r="G30" s="26">
        <v>0</v>
      </c>
      <c r="H30" s="25">
        <f t="shared" si="4"/>
        <v>11000</v>
      </c>
      <c r="I30" s="26">
        <v>0</v>
      </c>
      <c r="J30" s="26">
        <v>0</v>
      </c>
      <c r="K30" s="27">
        <f t="shared" si="5"/>
        <v>1200</v>
      </c>
      <c r="L30" s="27" t="s">
        <v>18</v>
      </c>
      <c r="M30" s="28">
        <v>1200</v>
      </c>
      <c r="N30" s="29"/>
      <c r="O30" s="25">
        <f t="shared" si="1"/>
        <v>1440</v>
      </c>
      <c r="P30" s="25">
        <f t="shared" si="2"/>
        <v>360</v>
      </c>
    </row>
    <row r="31" spans="2:16" x14ac:dyDescent="0.35">
      <c r="B31" s="30">
        <v>9</v>
      </c>
      <c r="C31" s="25">
        <f t="shared" si="3"/>
        <v>0</v>
      </c>
      <c r="D31" s="25">
        <f t="shared" si="0"/>
        <v>36</v>
      </c>
      <c r="E31" s="26">
        <v>0</v>
      </c>
      <c r="F31" s="26">
        <v>0</v>
      </c>
      <c r="G31" s="26">
        <v>0</v>
      </c>
      <c r="H31" s="25">
        <f t="shared" si="4"/>
        <v>13000</v>
      </c>
      <c r="I31" s="26">
        <v>0</v>
      </c>
      <c r="J31" s="26">
        <v>0</v>
      </c>
      <c r="K31" s="27">
        <f t="shared" si="5"/>
        <v>2000</v>
      </c>
      <c r="L31" s="27" t="s">
        <v>18</v>
      </c>
      <c r="M31" s="28">
        <v>2000</v>
      </c>
      <c r="N31" s="29"/>
      <c r="O31" s="25">
        <f t="shared" si="1"/>
        <v>1440</v>
      </c>
      <c r="P31" s="25">
        <f t="shared" si="2"/>
        <v>360</v>
      </c>
    </row>
    <row r="32" spans="2:16" x14ac:dyDescent="0.35">
      <c r="B32" s="30">
        <v>10</v>
      </c>
      <c r="C32" s="25">
        <f t="shared" si="3"/>
        <v>0</v>
      </c>
      <c r="D32" s="25">
        <f t="shared" si="0"/>
        <v>36</v>
      </c>
      <c r="E32" s="26">
        <v>0</v>
      </c>
      <c r="F32" s="26">
        <v>0</v>
      </c>
      <c r="G32" s="26">
        <v>0</v>
      </c>
      <c r="H32" s="25">
        <f t="shared" si="4"/>
        <v>15500</v>
      </c>
      <c r="I32" s="26">
        <v>0</v>
      </c>
      <c r="J32" s="26">
        <v>0</v>
      </c>
      <c r="K32" s="27">
        <f t="shared" si="5"/>
        <v>2500</v>
      </c>
      <c r="L32" s="27" t="s">
        <v>18</v>
      </c>
      <c r="M32" s="28">
        <v>2500</v>
      </c>
      <c r="N32" s="29"/>
      <c r="O32" s="25">
        <f t="shared" si="1"/>
        <v>1440</v>
      </c>
      <c r="P32" s="25">
        <f t="shared" si="2"/>
        <v>360</v>
      </c>
    </row>
    <row r="33" spans="2:19" x14ac:dyDescent="0.35">
      <c r="B33" s="30">
        <v>11</v>
      </c>
      <c r="C33" s="25">
        <f t="shared" si="3"/>
        <v>0</v>
      </c>
      <c r="D33" s="25">
        <f t="shared" si="0"/>
        <v>36</v>
      </c>
      <c r="E33" s="26">
        <v>0</v>
      </c>
      <c r="F33" s="26">
        <v>0</v>
      </c>
      <c r="G33" s="26">
        <v>0</v>
      </c>
      <c r="H33" s="25">
        <f t="shared" si="4"/>
        <v>18500</v>
      </c>
      <c r="I33" s="26">
        <v>0</v>
      </c>
      <c r="J33" s="26">
        <v>0</v>
      </c>
      <c r="K33" s="27">
        <f t="shared" si="5"/>
        <v>3000</v>
      </c>
      <c r="L33" s="27" t="s">
        <v>18</v>
      </c>
      <c r="M33" s="28">
        <v>3000</v>
      </c>
      <c r="N33" s="29"/>
      <c r="O33" s="25">
        <f t="shared" si="1"/>
        <v>1440</v>
      </c>
      <c r="P33" s="25">
        <f t="shared" si="2"/>
        <v>360</v>
      </c>
    </row>
    <row r="34" spans="2:19" x14ac:dyDescent="0.35">
      <c r="B34" s="30">
        <v>12</v>
      </c>
      <c r="C34" s="25">
        <f t="shared" si="3"/>
        <v>0</v>
      </c>
      <c r="D34" s="25">
        <f t="shared" si="0"/>
        <v>36</v>
      </c>
      <c r="E34" s="26">
        <v>0</v>
      </c>
      <c r="F34" s="26">
        <v>0</v>
      </c>
      <c r="G34" s="26">
        <v>0</v>
      </c>
      <c r="H34" s="25">
        <f t="shared" si="4"/>
        <v>21300</v>
      </c>
      <c r="I34" s="26">
        <v>0</v>
      </c>
      <c r="J34" s="26">
        <v>0</v>
      </c>
      <c r="K34" s="27">
        <f t="shared" si="5"/>
        <v>2800</v>
      </c>
      <c r="L34" s="27" t="s">
        <v>18</v>
      </c>
      <c r="M34" s="28">
        <v>2800</v>
      </c>
      <c r="N34" s="29"/>
      <c r="O34" s="25">
        <f t="shared" si="1"/>
        <v>1440</v>
      </c>
      <c r="P34" s="25">
        <f t="shared" si="2"/>
        <v>360</v>
      </c>
    </row>
    <row r="36" spans="2:19" x14ac:dyDescent="0.35">
      <c r="B36" s="31" t="s">
        <v>22</v>
      </c>
      <c r="C36" s="27">
        <f>SUM(C23:C34)</f>
        <v>0</v>
      </c>
      <c r="D36" s="27">
        <f t="shared" ref="D36:M36" si="6">SUM(D23:D34)</f>
        <v>432</v>
      </c>
      <c r="E36" s="27">
        <f t="shared" si="6"/>
        <v>0</v>
      </c>
      <c r="F36" s="27">
        <f t="shared" si="6"/>
        <v>0</v>
      </c>
      <c r="G36" s="27">
        <f t="shared" si="6"/>
        <v>0</v>
      </c>
      <c r="H36" s="27">
        <f t="shared" si="6"/>
        <v>126170</v>
      </c>
      <c r="I36" s="27">
        <f t="shared" si="6"/>
        <v>0</v>
      </c>
      <c r="J36" s="27">
        <f t="shared" si="6"/>
        <v>0</v>
      </c>
      <c r="K36" s="27"/>
      <c r="L36" s="27"/>
      <c r="M36" s="27">
        <f t="shared" si="6"/>
        <v>21800</v>
      </c>
    </row>
    <row r="39" spans="2:19" x14ac:dyDescent="0.35">
      <c r="S39" t="s">
        <v>45</v>
      </c>
    </row>
  </sheetData>
  <mergeCells count="1">
    <mergeCell ref="E1:G1"/>
  </mergeCells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4A61-55C3-4075-86FA-4A43D19C3095}">
  <dimension ref="A1:S39"/>
  <sheetViews>
    <sheetView zoomScale="55" zoomScaleNormal="120" zoomScalePageLayoutView="150" workbookViewId="0">
      <selection activeCell="K22" sqref="K1:K1048576"/>
    </sheetView>
  </sheetViews>
  <sheetFormatPr defaultColWidth="10.6640625" defaultRowHeight="15.5" x14ac:dyDescent="0.35"/>
  <cols>
    <col min="3" max="3" width="12.5" bestFit="1" customWidth="1"/>
    <col min="5" max="5" width="14.1640625" bestFit="1" customWidth="1"/>
    <col min="8" max="9" width="14" customWidth="1"/>
    <col min="11" max="11" width="11.1640625" hidden="1" customWidth="1"/>
    <col min="12" max="12" width="3.33203125" customWidth="1"/>
    <col min="14" max="14" width="3.33203125" customWidth="1"/>
    <col min="15" max="15" width="10.83203125" customWidth="1"/>
    <col min="16" max="16" width="13.1640625" bestFit="1" customWidth="1"/>
  </cols>
  <sheetData>
    <row r="1" spans="1:10" ht="16" thickBot="1" x14ac:dyDescent="0.4">
      <c r="A1" s="2" t="s">
        <v>46</v>
      </c>
      <c r="E1" s="36" t="s">
        <v>21</v>
      </c>
      <c r="F1" s="37"/>
      <c r="G1" s="38"/>
    </row>
    <row r="2" spans="1:10" ht="16" thickBot="1" x14ac:dyDescent="0.4">
      <c r="B2" s="32" t="s">
        <v>19</v>
      </c>
      <c r="C2" s="33">
        <f>SUM(E2:E9)</f>
        <v>7345300</v>
      </c>
      <c r="E2" s="7">
        <f>C18*D36</f>
        <v>1036800</v>
      </c>
      <c r="F2" s="8" t="s">
        <v>7</v>
      </c>
      <c r="G2" s="9"/>
    </row>
    <row r="3" spans="1:10" ht="16" thickBot="1" x14ac:dyDescent="0.4">
      <c r="E3" s="10">
        <f>G36*C19</f>
        <v>0</v>
      </c>
      <c r="F3" s="5" t="s">
        <v>8</v>
      </c>
      <c r="G3" s="11"/>
    </row>
    <row r="4" spans="1:10" ht="16" thickBot="1" x14ac:dyDescent="0.4">
      <c r="B4" s="3" t="s">
        <v>20</v>
      </c>
      <c r="C4" s="4">
        <f>C2/M36</f>
        <v>336.94036697247708</v>
      </c>
      <c r="E4" s="10">
        <f>E36*C15</f>
        <v>0</v>
      </c>
      <c r="F4" s="5" t="s">
        <v>11</v>
      </c>
      <c r="G4" s="11"/>
    </row>
    <row r="5" spans="1:10" x14ac:dyDescent="0.35">
      <c r="C5" s="1"/>
      <c r="E5" s="10">
        <f>F36*C16</f>
        <v>0</v>
      </c>
      <c r="F5" s="5" t="s">
        <v>10</v>
      </c>
      <c r="G5" s="11"/>
    </row>
    <row r="6" spans="1:10" x14ac:dyDescent="0.35">
      <c r="E6" s="10">
        <f>C36*C13</f>
        <v>0</v>
      </c>
      <c r="F6" s="5" t="s">
        <v>43</v>
      </c>
      <c r="G6" s="11"/>
    </row>
    <row r="7" spans="1:10" x14ac:dyDescent="0.35">
      <c r="C7" s="1"/>
      <c r="E7" s="10">
        <f>C14*H36</f>
        <v>6308500</v>
      </c>
      <c r="F7" s="5" t="s">
        <v>9</v>
      </c>
      <c r="G7" s="11"/>
    </row>
    <row r="8" spans="1:10" x14ac:dyDescent="0.35">
      <c r="E8" s="10">
        <f>I36*C12</f>
        <v>0</v>
      </c>
      <c r="F8" s="5" t="s">
        <v>12</v>
      </c>
      <c r="G8" s="11"/>
    </row>
    <row r="9" spans="1:10" ht="16" thickBot="1" x14ac:dyDescent="0.4">
      <c r="E9" s="12">
        <f>J36*C20</f>
        <v>0</v>
      </c>
      <c r="F9" s="13" t="s">
        <v>44</v>
      </c>
      <c r="G9" s="14"/>
    </row>
    <row r="11" spans="1:10" ht="16" thickBot="1" x14ac:dyDescent="0.4">
      <c r="B11" t="s">
        <v>2</v>
      </c>
    </row>
    <row r="12" spans="1:10" x14ac:dyDescent="0.35">
      <c r="C12" s="20">
        <v>75</v>
      </c>
      <c r="D12" s="18" t="s">
        <v>17</v>
      </c>
      <c r="E12" s="18"/>
      <c r="F12" s="18"/>
      <c r="G12" s="21">
        <v>160</v>
      </c>
      <c r="H12" s="18" t="s">
        <v>34</v>
      </c>
      <c r="I12" s="18"/>
      <c r="J12" s="9"/>
    </row>
    <row r="13" spans="1:10" x14ac:dyDescent="0.35">
      <c r="C13" s="15">
        <v>25</v>
      </c>
      <c r="D13" s="6" t="s">
        <v>33</v>
      </c>
      <c r="E13" s="6"/>
      <c r="F13" s="6"/>
      <c r="G13" s="22">
        <v>10</v>
      </c>
      <c r="H13" s="6" t="s">
        <v>35</v>
      </c>
      <c r="I13" s="6"/>
      <c r="J13" s="11"/>
    </row>
    <row r="14" spans="1:10" x14ac:dyDescent="0.35">
      <c r="C14" s="15">
        <v>50</v>
      </c>
      <c r="D14" s="6" t="s">
        <v>15</v>
      </c>
      <c r="E14" s="6"/>
      <c r="F14" s="6"/>
      <c r="G14" s="22">
        <v>500</v>
      </c>
      <c r="H14" s="6" t="s">
        <v>36</v>
      </c>
      <c r="I14" s="6"/>
      <c r="J14" s="11"/>
    </row>
    <row r="15" spans="1:10" x14ac:dyDescent="0.35">
      <c r="C15" s="15">
        <v>1200</v>
      </c>
      <c r="D15" s="6" t="s">
        <v>3</v>
      </c>
      <c r="E15" s="6"/>
      <c r="F15" s="6"/>
      <c r="G15" s="34">
        <v>500</v>
      </c>
      <c r="H15" s="6" t="s">
        <v>37</v>
      </c>
      <c r="I15" s="6"/>
      <c r="J15" s="11"/>
    </row>
    <row r="16" spans="1:10" x14ac:dyDescent="0.35">
      <c r="C16" s="15">
        <v>3600</v>
      </c>
      <c r="D16" s="6" t="s">
        <v>4</v>
      </c>
      <c r="E16" s="6"/>
      <c r="F16" s="6"/>
      <c r="G16" s="22">
        <v>0</v>
      </c>
      <c r="H16" s="6" t="s">
        <v>38</v>
      </c>
      <c r="I16" s="6"/>
      <c r="J16" s="11"/>
    </row>
    <row r="17" spans="2:16" x14ac:dyDescent="0.35">
      <c r="C17" s="16">
        <v>4</v>
      </c>
      <c r="D17" s="6" t="s">
        <v>5</v>
      </c>
      <c r="E17" s="6"/>
      <c r="F17" s="6"/>
      <c r="G17" s="34">
        <v>0</v>
      </c>
      <c r="H17" s="6" t="s">
        <v>39</v>
      </c>
      <c r="I17" s="6"/>
      <c r="J17" s="11"/>
    </row>
    <row r="18" spans="2:16" x14ac:dyDescent="0.35">
      <c r="C18" s="15">
        <v>2400</v>
      </c>
      <c r="D18" s="6" t="s">
        <v>13</v>
      </c>
      <c r="E18" s="6"/>
      <c r="F18" s="6"/>
      <c r="G18" s="22">
        <v>36</v>
      </c>
      <c r="H18" s="6" t="s">
        <v>40</v>
      </c>
      <c r="I18" s="6"/>
      <c r="J18" s="11"/>
    </row>
    <row r="19" spans="2:16" x14ac:dyDescent="0.35">
      <c r="C19" s="15">
        <v>25</v>
      </c>
      <c r="D19" s="6" t="s">
        <v>32</v>
      </c>
      <c r="E19" s="6"/>
      <c r="F19" s="6"/>
      <c r="G19" s="22">
        <v>30</v>
      </c>
      <c r="H19" s="6" t="s">
        <v>41</v>
      </c>
      <c r="I19" s="6"/>
      <c r="J19" s="11"/>
    </row>
    <row r="20" spans="2:16" ht="16" thickBot="1" x14ac:dyDescent="0.4">
      <c r="C20" s="17">
        <v>175</v>
      </c>
      <c r="D20" s="19" t="s">
        <v>6</v>
      </c>
      <c r="E20" s="19"/>
      <c r="F20" s="19"/>
      <c r="G20" s="35">
        <v>36</v>
      </c>
      <c r="H20" s="19" t="s">
        <v>42</v>
      </c>
      <c r="I20" s="19"/>
      <c r="J20" s="14"/>
    </row>
    <row r="22" spans="2:16" s="24" customFormat="1" ht="62" x14ac:dyDescent="0.35">
      <c r="B22" s="23" t="s">
        <v>0</v>
      </c>
      <c r="C22" s="23" t="s">
        <v>16</v>
      </c>
      <c r="D22" s="23" t="s">
        <v>1</v>
      </c>
      <c r="E22" s="23" t="s">
        <v>23</v>
      </c>
      <c r="F22" s="23" t="s">
        <v>24</v>
      </c>
      <c r="G22" s="23" t="s">
        <v>14</v>
      </c>
      <c r="H22" s="23" t="s">
        <v>25</v>
      </c>
      <c r="I22" s="23" t="s">
        <v>26</v>
      </c>
      <c r="J22" s="23" t="s">
        <v>27</v>
      </c>
      <c r="K22" s="23" t="s">
        <v>28</v>
      </c>
      <c r="L22" s="23"/>
      <c r="M22" s="23" t="s">
        <v>29</v>
      </c>
      <c r="O22" s="23" t="s">
        <v>30</v>
      </c>
      <c r="P22" s="23" t="s">
        <v>31</v>
      </c>
    </row>
    <row r="23" spans="2:16" x14ac:dyDescent="0.35">
      <c r="B23" s="30">
        <v>1</v>
      </c>
      <c r="C23" s="25">
        <f>IF(((G15+I23+J23-M23-G16)&gt;0),(G15+I23+J23-M23-G16),0)</f>
        <v>0</v>
      </c>
      <c r="D23" s="25">
        <f>G18+E23-F23</f>
        <v>36</v>
      </c>
      <c r="E23" s="26">
        <v>0</v>
      </c>
      <c r="F23" s="26">
        <v>0</v>
      </c>
      <c r="G23" s="26">
        <v>0</v>
      </c>
      <c r="H23" s="25">
        <f>IF(((G16+M23-G14-J23-I23)&gt;0),(G16+M23-G14-J23-I23),0)</f>
        <v>2300</v>
      </c>
      <c r="I23" s="26">
        <v>0</v>
      </c>
      <c r="J23" s="26">
        <v>0</v>
      </c>
      <c r="K23" s="27">
        <f>G14+I23+J23+H23-G16</f>
        <v>2800</v>
      </c>
      <c r="L23" s="27" t="s">
        <v>18</v>
      </c>
      <c r="M23" s="28">
        <v>2800</v>
      </c>
      <c r="N23" s="29"/>
      <c r="O23" s="25">
        <f>($G$12*D23+G23)/$C$17</f>
        <v>1440</v>
      </c>
      <c r="P23" s="25">
        <f>D23*$G$13</f>
        <v>360</v>
      </c>
    </row>
    <row r="24" spans="2:16" x14ac:dyDescent="0.35">
      <c r="B24" s="30">
        <v>2</v>
      </c>
      <c r="C24" s="25">
        <f>IF(((C23+I24+J24-M24-H23)&gt;0),(C23+I24+J24-M24-H23),0)</f>
        <v>0</v>
      </c>
      <c r="D24" s="25">
        <f t="shared" ref="D24:D34" si="0">D23+E24-F24</f>
        <v>36</v>
      </c>
      <c r="E24" s="26">
        <v>0</v>
      </c>
      <c r="F24" s="26">
        <v>0</v>
      </c>
      <c r="G24" s="26">
        <v>0</v>
      </c>
      <c r="H24" s="25">
        <f>IF(((H23+M24-C23-I24-J24)&gt;0),(H23+M24-C23-I24-J24),0)</f>
        <v>5100</v>
      </c>
      <c r="I24" s="26">
        <v>0</v>
      </c>
      <c r="J24" s="26">
        <v>0</v>
      </c>
      <c r="K24" s="27">
        <f>C23+I24+J24+H24-H23</f>
        <v>2800</v>
      </c>
      <c r="L24" s="27" t="s">
        <v>18</v>
      </c>
      <c r="M24" s="28">
        <v>2800</v>
      </c>
      <c r="N24" s="29"/>
      <c r="O24" s="25">
        <f t="shared" ref="O24:O34" si="1">($G$12*D24+G24)/$C$17</f>
        <v>1440</v>
      </c>
      <c r="P24" s="25">
        <f t="shared" ref="P24:P34" si="2">D24*$G$13</f>
        <v>360</v>
      </c>
    </row>
    <row r="25" spans="2:16" x14ac:dyDescent="0.35">
      <c r="B25" s="30">
        <v>3</v>
      </c>
      <c r="C25" s="25">
        <f t="shared" ref="C25:C34" si="3">IF(((C24+I25+J25-M25-H24)&gt;0),(C24+I25+J25-M25-H24),0)</f>
        <v>0</v>
      </c>
      <c r="D25" s="25">
        <f t="shared" si="0"/>
        <v>36</v>
      </c>
      <c r="E25" s="26">
        <v>0</v>
      </c>
      <c r="F25" s="26">
        <v>0</v>
      </c>
      <c r="G25" s="26">
        <v>0</v>
      </c>
      <c r="H25" s="25">
        <f t="shared" ref="H25:H34" si="4">IF(((H24+M25-C24-I25-J25)&gt;0),(H24+M25-C24-I25-J25),0)</f>
        <v>6100</v>
      </c>
      <c r="I25" s="26">
        <v>0</v>
      </c>
      <c r="J25" s="26">
        <v>0</v>
      </c>
      <c r="K25" s="27">
        <f t="shared" ref="K25:K34" si="5">C24+I25+J25+H25-H24</f>
        <v>1000</v>
      </c>
      <c r="L25" s="27" t="s">
        <v>18</v>
      </c>
      <c r="M25" s="28">
        <v>1000</v>
      </c>
      <c r="N25" s="29"/>
      <c r="O25" s="25">
        <f t="shared" si="1"/>
        <v>1440</v>
      </c>
      <c r="P25" s="25">
        <f t="shared" si="2"/>
        <v>360</v>
      </c>
    </row>
    <row r="26" spans="2:16" x14ac:dyDescent="0.35">
      <c r="B26" s="30">
        <v>4</v>
      </c>
      <c r="C26" s="25">
        <f t="shared" si="3"/>
        <v>0</v>
      </c>
      <c r="D26" s="25">
        <f t="shared" si="0"/>
        <v>36</v>
      </c>
      <c r="E26" s="26">
        <v>0</v>
      </c>
      <c r="F26" s="26">
        <v>0</v>
      </c>
      <c r="G26" s="26">
        <v>0</v>
      </c>
      <c r="H26" s="25">
        <f t="shared" si="4"/>
        <v>7020</v>
      </c>
      <c r="I26" s="26">
        <v>0</v>
      </c>
      <c r="J26" s="26">
        <v>0</v>
      </c>
      <c r="K26" s="27">
        <f t="shared" si="5"/>
        <v>920</v>
      </c>
      <c r="L26" s="27" t="s">
        <v>18</v>
      </c>
      <c r="M26" s="28">
        <v>920</v>
      </c>
      <c r="N26" s="29"/>
      <c r="O26" s="25">
        <f t="shared" si="1"/>
        <v>1440</v>
      </c>
      <c r="P26" s="25">
        <f t="shared" si="2"/>
        <v>360</v>
      </c>
    </row>
    <row r="27" spans="2:16" x14ac:dyDescent="0.35">
      <c r="B27" s="30">
        <v>5</v>
      </c>
      <c r="C27" s="25">
        <f t="shared" si="3"/>
        <v>0</v>
      </c>
      <c r="D27" s="25">
        <f t="shared" si="0"/>
        <v>36</v>
      </c>
      <c r="E27" s="26">
        <v>0</v>
      </c>
      <c r="F27" s="26">
        <v>0</v>
      </c>
      <c r="G27" s="26">
        <v>0</v>
      </c>
      <c r="H27" s="25">
        <f t="shared" si="4"/>
        <v>7800</v>
      </c>
      <c r="I27" s="26">
        <v>0</v>
      </c>
      <c r="J27" s="26">
        <v>0</v>
      </c>
      <c r="K27" s="27">
        <f t="shared" si="5"/>
        <v>780</v>
      </c>
      <c r="L27" s="27" t="s">
        <v>18</v>
      </c>
      <c r="M27" s="28">
        <v>780</v>
      </c>
      <c r="N27" s="29"/>
      <c r="O27" s="25">
        <f t="shared" si="1"/>
        <v>1440</v>
      </c>
      <c r="P27" s="25">
        <f t="shared" si="2"/>
        <v>360</v>
      </c>
    </row>
    <row r="28" spans="2:16" x14ac:dyDescent="0.35">
      <c r="B28" s="30">
        <v>6</v>
      </c>
      <c r="C28" s="25">
        <f t="shared" si="3"/>
        <v>0</v>
      </c>
      <c r="D28" s="25">
        <f t="shared" si="0"/>
        <v>36</v>
      </c>
      <c r="E28" s="26">
        <v>0</v>
      </c>
      <c r="F28" s="26">
        <v>0</v>
      </c>
      <c r="G28" s="26">
        <v>0</v>
      </c>
      <c r="H28" s="25">
        <f t="shared" si="4"/>
        <v>8750</v>
      </c>
      <c r="I28" s="26">
        <v>0</v>
      </c>
      <c r="J28" s="26">
        <v>0</v>
      </c>
      <c r="K28" s="27">
        <f t="shared" si="5"/>
        <v>950</v>
      </c>
      <c r="L28" s="27" t="s">
        <v>18</v>
      </c>
      <c r="M28" s="28">
        <v>950</v>
      </c>
      <c r="N28" s="29"/>
      <c r="O28" s="25">
        <f t="shared" si="1"/>
        <v>1440</v>
      </c>
      <c r="P28" s="25">
        <f t="shared" si="2"/>
        <v>360</v>
      </c>
    </row>
    <row r="29" spans="2:16" x14ac:dyDescent="0.35">
      <c r="B29" s="30">
        <v>7</v>
      </c>
      <c r="C29" s="25">
        <f t="shared" si="3"/>
        <v>0</v>
      </c>
      <c r="D29" s="25">
        <f t="shared" si="0"/>
        <v>36</v>
      </c>
      <c r="E29" s="26">
        <v>0</v>
      </c>
      <c r="F29" s="26">
        <v>0</v>
      </c>
      <c r="G29" s="26">
        <v>0</v>
      </c>
      <c r="H29" s="25">
        <f t="shared" si="4"/>
        <v>9800</v>
      </c>
      <c r="I29" s="26">
        <v>0</v>
      </c>
      <c r="J29" s="26">
        <v>0</v>
      </c>
      <c r="K29" s="27">
        <f t="shared" si="5"/>
        <v>1050</v>
      </c>
      <c r="L29" s="27" t="s">
        <v>18</v>
      </c>
      <c r="M29" s="28">
        <v>1050</v>
      </c>
      <c r="N29" s="29"/>
      <c r="O29" s="25">
        <f t="shared" si="1"/>
        <v>1440</v>
      </c>
      <c r="P29" s="25">
        <f t="shared" si="2"/>
        <v>360</v>
      </c>
    </row>
    <row r="30" spans="2:16" x14ac:dyDescent="0.35">
      <c r="B30" s="30">
        <v>8</v>
      </c>
      <c r="C30" s="25">
        <f t="shared" si="3"/>
        <v>0</v>
      </c>
      <c r="D30" s="25">
        <f t="shared" si="0"/>
        <v>36</v>
      </c>
      <c r="E30" s="26">
        <v>0</v>
      </c>
      <c r="F30" s="26">
        <v>0</v>
      </c>
      <c r="G30" s="26">
        <v>0</v>
      </c>
      <c r="H30" s="25">
        <f t="shared" si="4"/>
        <v>11000</v>
      </c>
      <c r="I30" s="26">
        <v>0</v>
      </c>
      <c r="J30" s="26">
        <v>0</v>
      </c>
      <c r="K30" s="27">
        <f t="shared" si="5"/>
        <v>1200</v>
      </c>
      <c r="L30" s="27" t="s">
        <v>18</v>
      </c>
      <c r="M30" s="28">
        <v>1200</v>
      </c>
      <c r="N30" s="29"/>
      <c r="O30" s="25">
        <f t="shared" si="1"/>
        <v>1440</v>
      </c>
      <c r="P30" s="25">
        <f t="shared" si="2"/>
        <v>360</v>
      </c>
    </row>
    <row r="31" spans="2:16" x14ac:dyDescent="0.35">
      <c r="B31" s="30">
        <v>9</v>
      </c>
      <c r="C31" s="25">
        <f t="shared" si="3"/>
        <v>0</v>
      </c>
      <c r="D31" s="25">
        <f t="shared" si="0"/>
        <v>36</v>
      </c>
      <c r="E31" s="26">
        <v>0</v>
      </c>
      <c r="F31" s="26">
        <v>0</v>
      </c>
      <c r="G31" s="26">
        <v>0</v>
      </c>
      <c r="H31" s="25">
        <f t="shared" si="4"/>
        <v>13000</v>
      </c>
      <c r="I31" s="26">
        <v>0</v>
      </c>
      <c r="J31" s="26">
        <v>0</v>
      </c>
      <c r="K31" s="27">
        <f t="shared" si="5"/>
        <v>2000</v>
      </c>
      <c r="L31" s="27" t="s">
        <v>18</v>
      </c>
      <c r="M31" s="28">
        <v>2000</v>
      </c>
      <c r="N31" s="29"/>
      <c r="O31" s="25">
        <f t="shared" si="1"/>
        <v>1440</v>
      </c>
      <c r="P31" s="25">
        <f t="shared" si="2"/>
        <v>360</v>
      </c>
    </row>
    <row r="32" spans="2:16" x14ac:dyDescent="0.35">
      <c r="B32" s="30">
        <v>10</v>
      </c>
      <c r="C32" s="25">
        <f t="shared" si="3"/>
        <v>0</v>
      </c>
      <c r="D32" s="25">
        <f t="shared" si="0"/>
        <v>36</v>
      </c>
      <c r="E32" s="26">
        <v>0</v>
      </c>
      <c r="F32" s="26">
        <v>0</v>
      </c>
      <c r="G32" s="26">
        <v>0</v>
      </c>
      <c r="H32" s="25">
        <f t="shared" si="4"/>
        <v>15500</v>
      </c>
      <c r="I32" s="26">
        <v>0</v>
      </c>
      <c r="J32" s="26">
        <v>0</v>
      </c>
      <c r="K32" s="27">
        <f t="shared" si="5"/>
        <v>2500</v>
      </c>
      <c r="L32" s="27" t="s">
        <v>18</v>
      </c>
      <c r="M32" s="28">
        <v>2500</v>
      </c>
      <c r="N32" s="29"/>
      <c r="O32" s="25">
        <f t="shared" si="1"/>
        <v>1440</v>
      </c>
      <c r="P32" s="25">
        <f t="shared" si="2"/>
        <v>360</v>
      </c>
    </row>
    <row r="33" spans="2:19" x14ac:dyDescent="0.35">
      <c r="B33" s="30">
        <v>11</v>
      </c>
      <c r="C33" s="25">
        <f t="shared" si="3"/>
        <v>0</v>
      </c>
      <c r="D33" s="25">
        <f t="shared" si="0"/>
        <v>36</v>
      </c>
      <c r="E33" s="26">
        <v>0</v>
      </c>
      <c r="F33" s="26">
        <v>0</v>
      </c>
      <c r="G33" s="26">
        <v>0</v>
      </c>
      <c r="H33" s="25">
        <f t="shared" si="4"/>
        <v>18500</v>
      </c>
      <c r="I33" s="26">
        <v>0</v>
      </c>
      <c r="J33" s="26">
        <v>0</v>
      </c>
      <c r="K33" s="27">
        <f t="shared" si="5"/>
        <v>3000</v>
      </c>
      <c r="L33" s="27" t="s">
        <v>18</v>
      </c>
      <c r="M33" s="28">
        <v>3000</v>
      </c>
      <c r="N33" s="29"/>
      <c r="O33" s="25">
        <f t="shared" si="1"/>
        <v>1440</v>
      </c>
      <c r="P33" s="25">
        <f t="shared" si="2"/>
        <v>360</v>
      </c>
    </row>
    <row r="34" spans="2:19" x14ac:dyDescent="0.35">
      <c r="B34" s="30">
        <v>12</v>
      </c>
      <c r="C34" s="25">
        <f t="shared" si="3"/>
        <v>0</v>
      </c>
      <c r="D34" s="25">
        <f t="shared" si="0"/>
        <v>36</v>
      </c>
      <c r="E34" s="26">
        <v>0</v>
      </c>
      <c r="F34" s="26">
        <v>0</v>
      </c>
      <c r="G34" s="26">
        <v>0</v>
      </c>
      <c r="H34" s="25">
        <f t="shared" si="4"/>
        <v>21300</v>
      </c>
      <c r="I34" s="26">
        <v>0</v>
      </c>
      <c r="J34" s="26">
        <v>0</v>
      </c>
      <c r="K34" s="27">
        <f t="shared" si="5"/>
        <v>2800</v>
      </c>
      <c r="L34" s="27" t="s">
        <v>18</v>
      </c>
      <c r="M34" s="28">
        <v>2800</v>
      </c>
      <c r="N34" s="29"/>
      <c r="O34" s="25">
        <f t="shared" si="1"/>
        <v>1440</v>
      </c>
      <c r="P34" s="25">
        <f t="shared" si="2"/>
        <v>360</v>
      </c>
    </row>
    <row r="36" spans="2:19" x14ac:dyDescent="0.35">
      <c r="B36" s="31" t="s">
        <v>22</v>
      </c>
      <c r="C36" s="27">
        <f>SUM(C23:C34)</f>
        <v>0</v>
      </c>
      <c r="D36" s="27">
        <f t="shared" ref="D36:M36" si="6">SUM(D23:D34)</f>
        <v>432</v>
      </c>
      <c r="E36" s="27">
        <f t="shared" si="6"/>
        <v>0</v>
      </c>
      <c r="F36" s="27">
        <f t="shared" si="6"/>
        <v>0</v>
      </c>
      <c r="G36" s="27">
        <f t="shared" si="6"/>
        <v>0</v>
      </c>
      <c r="H36" s="27">
        <f t="shared" si="6"/>
        <v>126170</v>
      </c>
      <c r="I36" s="27">
        <f t="shared" si="6"/>
        <v>0</v>
      </c>
      <c r="J36" s="27">
        <f t="shared" si="6"/>
        <v>0</v>
      </c>
      <c r="K36" s="27"/>
      <c r="L36" s="27"/>
      <c r="M36" s="27">
        <f t="shared" si="6"/>
        <v>21800</v>
      </c>
    </row>
    <row r="39" spans="2:19" x14ac:dyDescent="0.35">
      <c r="S39" t="s">
        <v>45</v>
      </c>
    </row>
  </sheetData>
  <mergeCells count="1">
    <mergeCell ref="E1:G1"/>
  </mergeCells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5315-3813-41C7-B4B2-AA983B051299}">
  <dimension ref="A1:S39"/>
  <sheetViews>
    <sheetView topLeftCell="A9" zoomScale="58" zoomScaleNormal="120" zoomScalePageLayoutView="150" workbookViewId="0">
      <selection activeCell="B22" sqref="B22:J24"/>
    </sheetView>
  </sheetViews>
  <sheetFormatPr defaultColWidth="10.6640625" defaultRowHeight="15.5" x14ac:dyDescent="0.35"/>
  <cols>
    <col min="3" max="3" width="12.5" bestFit="1" customWidth="1"/>
    <col min="5" max="5" width="14.1640625" bestFit="1" customWidth="1"/>
    <col min="8" max="9" width="14" customWidth="1"/>
    <col min="11" max="11" width="11.1640625" hidden="1" customWidth="1"/>
    <col min="12" max="12" width="3.33203125" customWidth="1"/>
    <col min="14" max="14" width="3.33203125" customWidth="1"/>
    <col min="15" max="15" width="10.83203125" customWidth="1"/>
    <col min="16" max="16" width="13.1640625" bestFit="1" customWidth="1"/>
  </cols>
  <sheetData>
    <row r="1" spans="1:10" ht="16" thickBot="1" x14ac:dyDescent="0.4">
      <c r="A1" s="2" t="s">
        <v>46</v>
      </c>
      <c r="E1" s="36" t="s">
        <v>21</v>
      </c>
      <c r="F1" s="37"/>
      <c r="G1" s="38"/>
    </row>
    <row r="2" spans="1:10" ht="16" thickBot="1" x14ac:dyDescent="0.4">
      <c r="B2" s="32" t="s">
        <v>19</v>
      </c>
      <c r="C2" s="33">
        <f>SUM(E2:E9)</f>
        <v>7345300</v>
      </c>
      <c r="E2" s="7">
        <f>C18*D36</f>
        <v>1036800</v>
      </c>
      <c r="F2" s="8" t="s">
        <v>7</v>
      </c>
      <c r="G2" s="9"/>
    </row>
    <row r="3" spans="1:10" ht="16" thickBot="1" x14ac:dyDescent="0.4">
      <c r="E3" s="10">
        <f>G36*C19</f>
        <v>0</v>
      </c>
      <c r="F3" s="5" t="s">
        <v>8</v>
      </c>
      <c r="G3" s="11"/>
    </row>
    <row r="4" spans="1:10" ht="16" thickBot="1" x14ac:dyDescent="0.4">
      <c r="B4" s="3" t="s">
        <v>20</v>
      </c>
      <c r="C4" s="4">
        <f>C2/M36</f>
        <v>336.94036697247708</v>
      </c>
      <c r="E4" s="10">
        <f>E36*C15</f>
        <v>0</v>
      </c>
      <c r="F4" s="5" t="s">
        <v>11</v>
      </c>
      <c r="G4" s="11"/>
    </row>
    <row r="5" spans="1:10" x14ac:dyDescent="0.35">
      <c r="C5" s="1"/>
      <c r="E5" s="10">
        <f>F36*C16</f>
        <v>0</v>
      </c>
      <c r="F5" s="5" t="s">
        <v>10</v>
      </c>
      <c r="G5" s="11"/>
    </row>
    <row r="6" spans="1:10" x14ac:dyDescent="0.35">
      <c r="E6" s="10">
        <f>C36*C13</f>
        <v>0</v>
      </c>
      <c r="F6" s="5" t="s">
        <v>43</v>
      </c>
      <c r="G6" s="11"/>
    </row>
    <row r="7" spans="1:10" x14ac:dyDescent="0.35">
      <c r="C7" s="1"/>
      <c r="E7" s="10">
        <f>C14*H36</f>
        <v>6308500</v>
      </c>
      <c r="F7" s="5" t="s">
        <v>9</v>
      </c>
      <c r="G7" s="11"/>
    </row>
    <row r="8" spans="1:10" x14ac:dyDescent="0.35">
      <c r="E8" s="10">
        <f>I36*C12</f>
        <v>0</v>
      </c>
      <c r="F8" s="5" t="s">
        <v>12</v>
      </c>
      <c r="G8" s="11"/>
    </row>
    <row r="9" spans="1:10" ht="16" thickBot="1" x14ac:dyDescent="0.4">
      <c r="E9" s="12">
        <f>J36*C20</f>
        <v>0</v>
      </c>
      <c r="F9" s="13" t="s">
        <v>44</v>
      </c>
      <c r="G9" s="14"/>
    </row>
    <row r="11" spans="1:10" ht="16" thickBot="1" x14ac:dyDescent="0.4">
      <c r="B11" t="s">
        <v>2</v>
      </c>
    </row>
    <row r="12" spans="1:10" x14ac:dyDescent="0.35">
      <c r="C12" s="20">
        <v>75</v>
      </c>
      <c r="D12" s="18" t="s">
        <v>17</v>
      </c>
      <c r="E12" s="18"/>
      <c r="F12" s="18"/>
      <c r="G12" s="21">
        <v>160</v>
      </c>
      <c r="H12" s="18" t="s">
        <v>34</v>
      </c>
      <c r="I12" s="18"/>
      <c r="J12" s="9"/>
    </row>
    <row r="13" spans="1:10" x14ac:dyDescent="0.35">
      <c r="C13" s="15">
        <v>25</v>
      </c>
      <c r="D13" s="6" t="s">
        <v>33</v>
      </c>
      <c r="E13" s="6"/>
      <c r="F13" s="6"/>
      <c r="G13" s="22">
        <v>10</v>
      </c>
      <c r="H13" s="6" t="s">
        <v>35</v>
      </c>
      <c r="I13" s="6"/>
      <c r="J13" s="11"/>
    </row>
    <row r="14" spans="1:10" x14ac:dyDescent="0.35">
      <c r="C14" s="15">
        <v>50</v>
      </c>
      <c r="D14" s="6" t="s">
        <v>15</v>
      </c>
      <c r="E14" s="6"/>
      <c r="F14" s="6"/>
      <c r="G14" s="22">
        <v>500</v>
      </c>
      <c r="H14" s="6" t="s">
        <v>36</v>
      </c>
      <c r="I14" s="6"/>
      <c r="J14" s="11"/>
    </row>
    <row r="15" spans="1:10" x14ac:dyDescent="0.35">
      <c r="C15" s="15">
        <v>1200</v>
      </c>
      <c r="D15" s="6" t="s">
        <v>3</v>
      </c>
      <c r="E15" s="6"/>
      <c r="F15" s="6"/>
      <c r="G15" s="34">
        <v>500</v>
      </c>
      <c r="H15" s="6" t="s">
        <v>37</v>
      </c>
      <c r="I15" s="6"/>
      <c r="J15" s="11"/>
    </row>
    <row r="16" spans="1:10" x14ac:dyDescent="0.35">
      <c r="C16" s="15">
        <v>3600</v>
      </c>
      <c r="D16" s="6" t="s">
        <v>4</v>
      </c>
      <c r="E16" s="6"/>
      <c r="F16" s="6"/>
      <c r="G16" s="22">
        <v>0</v>
      </c>
      <c r="H16" s="6" t="s">
        <v>38</v>
      </c>
      <c r="I16" s="6"/>
      <c r="J16" s="11"/>
    </row>
    <row r="17" spans="2:16" x14ac:dyDescent="0.35">
      <c r="C17" s="16">
        <v>4</v>
      </c>
      <c r="D17" s="6" t="s">
        <v>5</v>
      </c>
      <c r="E17" s="6"/>
      <c r="F17" s="6"/>
      <c r="G17" s="34">
        <v>0</v>
      </c>
      <c r="H17" s="6" t="s">
        <v>39</v>
      </c>
      <c r="I17" s="6"/>
      <c r="J17" s="11"/>
    </row>
    <row r="18" spans="2:16" x14ac:dyDescent="0.35">
      <c r="C18" s="15">
        <v>2400</v>
      </c>
      <c r="D18" s="6" t="s">
        <v>13</v>
      </c>
      <c r="E18" s="6"/>
      <c r="F18" s="6"/>
      <c r="G18" s="22">
        <v>36</v>
      </c>
      <c r="H18" s="6" t="s">
        <v>40</v>
      </c>
      <c r="I18" s="6"/>
      <c r="J18" s="11"/>
    </row>
    <row r="19" spans="2:16" x14ac:dyDescent="0.35">
      <c r="C19" s="15">
        <v>25</v>
      </c>
      <c r="D19" s="6" t="s">
        <v>32</v>
      </c>
      <c r="E19" s="6"/>
      <c r="F19" s="6"/>
      <c r="G19" s="22">
        <v>30</v>
      </c>
      <c r="H19" s="6" t="s">
        <v>41</v>
      </c>
      <c r="I19" s="6"/>
      <c r="J19" s="11"/>
    </row>
    <row r="20" spans="2:16" ht="16" thickBot="1" x14ac:dyDescent="0.4">
      <c r="C20" s="17">
        <v>175</v>
      </c>
      <c r="D20" s="19" t="s">
        <v>6</v>
      </c>
      <c r="E20" s="19"/>
      <c r="F20" s="19"/>
      <c r="G20" s="35">
        <v>36</v>
      </c>
      <c r="H20" s="19" t="s">
        <v>42</v>
      </c>
      <c r="I20" s="19"/>
      <c r="J20" s="14"/>
    </row>
    <row r="22" spans="2:16" s="24" customFormat="1" ht="62" x14ac:dyDescent="0.35">
      <c r="B22" s="23" t="s">
        <v>0</v>
      </c>
      <c r="C22" s="23" t="s">
        <v>16</v>
      </c>
      <c r="D22" s="23" t="s">
        <v>1</v>
      </c>
      <c r="E22" s="23" t="s">
        <v>23</v>
      </c>
      <c r="F22" s="23" t="s">
        <v>24</v>
      </c>
      <c r="G22" s="23" t="s">
        <v>14</v>
      </c>
      <c r="H22" s="23" t="s">
        <v>25</v>
      </c>
      <c r="I22" s="23" t="s">
        <v>26</v>
      </c>
      <c r="J22" s="23" t="s">
        <v>27</v>
      </c>
      <c r="K22" s="23" t="s">
        <v>28</v>
      </c>
      <c r="L22" s="23"/>
      <c r="M22" s="23" t="s">
        <v>29</v>
      </c>
      <c r="O22" s="23" t="s">
        <v>30</v>
      </c>
      <c r="P22" s="23" t="s">
        <v>31</v>
      </c>
    </row>
    <row r="23" spans="2:16" x14ac:dyDescent="0.35">
      <c r="B23" s="30">
        <v>1</v>
      </c>
      <c r="C23" s="25">
        <f>IF(((G15+I23+J23-M23-G16)&gt;0),(G15+I23+J23-M23-G16),0)</f>
        <v>0</v>
      </c>
      <c r="D23" s="25">
        <f>G18+E23-F23</f>
        <v>36</v>
      </c>
      <c r="E23" s="26">
        <v>0</v>
      </c>
      <c r="F23" s="26">
        <v>0</v>
      </c>
      <c r="G23" s="26">
        <v>0</v>
      </c>
      <c r="H23" s="25">
        <f>IF(((G16+M23-G14-J23-I23)&gt;0),(G16+M23-G14-J23-I23),0)</f>
        <v>2300</v>
      </c>
      <c r="I23" s="26">
        <v>0</v>
      </c>
      <c r="J23" s="26">
        <v>0</v>
      </c>
      <c r="K23" s="27">
        <f>G14+I23+J23+H23-G16</f>
        <v>2800</v>
      </c>
      <c r="L23" s="27" t="s">
        <v>18</v>
      </c>
      <c r="M23" s="28">
        <v>2800</v>
      </c>
      <c r="N23" s="29"/>
      <c r="O23" s="25">
        <f>($G$12*D23+G23)/$C$17</f>
        <v>1440</v>
      </c>
      <c r="P23" s="25">
        <f>D23*$G$13</f>
        <v>360</v>
      </c>
    </row>
    <row r="24" spans="2:16" x14ac:dyDescent="0.35">
      <c r="B24" s="30">
        <v>2</v>
      </c>
      <c r="C24" s="25">
        <f>IF(((C23+I24+J24-M24-H23)&gt;0),(C23+I24+J24-M24-H23),0)</f>
        <v>0</v>
      </c>
      <c r="D24" s="25">
        <f t="shared" ref="D24:D34" si="0">D23+E24-F24</f>
        <v>36</v>
      </c>
      <c r="E24" s="26">
        <v>0</v>
      </c>
      <c r="F24" s="26">
        <v>0</v>
      </c>
      <c r="G24" s="26">
        <v>0</v>
      </c>
      <c r="H24" s="25">
        <f>IF(((H23+M24-C23-I24-J24)&gt;0),(H23+M24-C23-I24-J24),0)</f>
        <v>5100</v>
      </c>
      <c r="I24" s="26">
        <v>0</v>
      </c>
      <c r="J24" s="26">
        <v>0</v>
      </c>
      <c r="K24" s="27">
        <f>C23+I24+J24+H24-H23</f>
        <v>2800</v>
      </c>
      <c r="L24" s="27" t="s">
        <v>18</v>
      </c>
      <c r="M24" s="28">
        <v>2800</v>
      </c>
      <c r="N24" s="29"/>
      <c r="O24" s="25">
        <f t="shared" ref="O24:O34" si="1">($G$12*D24+G24)/$C$17</f>
        <v>1440</v>
      </c>
      <c r="P24" s="25">
        <f t="shared" ref="P24:P34" si="2">D24*$G$13</f>
        <v>360</v>
      </c>
    </row>
    <row r="25" spans="2:16" x14ac:dyDescent="0.35">
      <c r="B25" s="30">
        <v>3</v>
      </c>
      <c r="C25" s="25">
        <f t="shared" ref="C25:C34" si="3">IF(((C24+I25+J25-M25-H24)&gt;0),(C24+I25+J25-M25-H24),0)</f>
        <v>0</v>
      </c>
      <c r="D25" s="25">
        <f t="shared" si="0"/>
        <v>36</v>
      </c>
      <c r="E25" s="26">
        <v>0</v>
      </c>
      <c r="F25" s="26">
        <v>0</v>
      </c>
      <c r="G25" s="26">
        <v>0</v>
      </c>
      <c r="H25" s="25">
        <f t="shared" ref="H25:H34" si="4">IF(((H24+M25-C24-I25-J25)&gt;0),(H24+M25-C24-I25-J25),0)</f>
        <v>6100</v>
      </c>
      <c r="I25" s="26">
        <v>0</v>
      </c>
      <c r="J25" s="26">
        <v>0</v>
      </c>
      <c r="K25" s="27">
        <f t="shared" ref="K25:K34" si="5">C24+I25+J25+H25-H24</f>
        <v>1000</v>
      </c>
      <c r="L25" s="27" t="s">
        <v>18</v>
      </c>
      <c r="M25" s="28">
        <v>1000</v>
      </c>
      <c r="N25" s="29"/>
      <c r="O25" s="25">
        <f t="shared" si="1"/>
        <v>1440</v>
      </c>
      <c r="P25" s="25">
        <f t="shared" si="2"/>
        <v>360</v>
      </c>
    </row>
    <row r="26" spans="2:16" x14ac:dyDescent="0.35">
      <c r="B26" s="30">
        <v>4</v>
      </c>
      <c r="C26" s="25">
        <f t="shared" si="3"/>
        <v>0</v>
      </c>
      <c r="D26" s="25">
        <f t="shared" si="0"/>
        <v>36</v>
      </c>
      <c r="E26" s="26">
        <v>0</v>
      </c>
      <c r="F26" s="26">
        <v>0</v>
      </c>
      <c r="G26" s="26">
        <v>0</v>
      </c>
      <c r="H26" s="25">
        <f t="shared" si="4"/>
        <v>7020</v>
      </c>
      <c r="I26" s="26">
        <v>0</v>
      </c>
      <c r="J26" s="26">
        <v>0</v>
      </c>
      <c r="K26" s="27">
        <f t="shared" si="5"/>
        <v>920</v>
      </c>
      <c r="L26" s="27" t="s">
        <v>18</v>
      </c>
      <c r="M26" s="28">
        <v>920</v>
      </c>
      <c r="N26" s="29"/>
      <c r="O26" s="25">
        <f t="shared" si="1"/>
        <v>1440</v>
      </c>
      <c r="P26" s="25">
        <f t="shared" si="2"/>
        <v>360</v>
      </c>
    </row>
    <row r="27" spans="2:16" x14ac:dyDescent="0.35">
      <c r="B27" s="30">
        <v>5</v>
      </c>
      <c r="C27" s="25">
        <f t="shared" si="3"/>
        <v>0</v>
      </c>
      <c r="D27" s="25">
        <f t="shared" si="0"/>
        <v>36</v>
      </c>
      <c r="E27" s="26">
        <v>0</v>
      </c>
      <c r="F27" s="26">
        <v>0</v>
      </c>
      <c r="G27" s="26">
        <v>0</v>
      </c>
      <c r="H27" s="25">
        <f t="shared" si="4"/>
        <v>7800</v>
      </c>
      <c r="I27" s="26">
        <v>0</v>
      </c>
      <c r="J27" s="26">
        <v>0</v>
      </c>
      <c r="K27" s="27">
        <f t="shared" si="5"/>
        <v>780</v>
      </c>
      <c r="L27" s="27" t="s">
        <v>18</v>
      </c>
      <c r="M27" s="28">
        <v>780</v>
      </c>
      <c r="N27" s="29"/>
      <c r="O27" s="25">
        <f t="shared" si="1"/>
        <v>1440</v>
      </c>
      <c r="P27" s="25">
        <f t="shared" si="2"/>
        <v>360</v>
      </c>
    </row>
    <row r="28" spans="2:16" x14ac:dyDescent="0.35">
      <c r="B28" s="30">
        <v>6</v>
      </c>
      <c r="C28" s="25">
        <f t="shared" si="3"/>
        <v>0</v>
      </c>
      <c r="D28" s="25">
        <f t="shared" si="0"/>
        <v>36</v>
      </c>
      <c r="E28" s="26">
        <v>0</v>
      </c>
      <c r="F28" s="26">
        <v>0</v>
      </c>
      <c r="G28" s="26">
        <v>0</v>
      </c>
      <c r="H28" s="25">
        <f t="shared" si="4"/>
        <v>8750</v>
      </c>
      <c r="I28" s="26">
        <v>0</v>
      </c>
      <c r="J28" s="26">
        <v>0</v>
      </c>
      <c r="K28" s="27">
        <f t="shared" si="5"/>
        <v>950</v>
      </c>
      <c r="L28" s="27" t="s">
        <v>18</v>
      </c>
      <c r="M28" s="28">
        <v>950</v>
      </c>
      <c r="N28" s="29"/>
      <c r="O28" s="25">
        <f t="shared" si="1"/>
        <v>1440</v>
      </c>
      <c r="P28" s="25">
        <f t="shared" si="2"/>
        <v>360</v>
      </c>
    </row>
    <row r="29" spans="2:16" x14ac:dyDescent="0.35">
      <c r="B29" s="30">
        <v>7</v>
      </c>
      <c r="C29" s="25">
        <f t="shared" si="3"/>
        <v>0</v>
      </c>
      <c r="D29" s="25">
        <f t="shared" si="0"/>
        <v>36</v>
      </c>
      <c r="E29" s="26">
        <v>0</v>
      </c>
      <c r="F29" s="26">
        <v>0</v>
      </c>
      <c r="G29" s="26">
        <v>0</v>
      </c>
      <c r="H29" s="25">
        <f t="shared" si="4"/>
        <v>9800</v>
      </c>
      <c r="I29" s="26">
        <v>0</v>
      </c>
      <c r="J29" s="26">
        <v>0</v>
      </c>
      <c r="K29" s="27">
        <f t="shared" si="5"/>
        <v>1050</v>
      </c>
      <c r="L29" s="27" t="s">
        <v>18</v>
      </c>
      <c r="M29" s="28">
        <v>1050</v>
      </c>
      <c r="N29" s="29"/>
      <c r="O29" s="25">
        <f t="shared" si="1"/>
        <v>1440</v>
      </c>
      <c r="P29" s="25">
        <f t="shared" si="2"/>
        <v>360</v>
      </c>
    </row>
    <row r="30" spans="2:16" x14ac:dyDescent="0.35">
      <c r="B30" s="30">
        <v>8</v>
      </c>
      <c r="C30" s="25">
        <f t="shared" si="3"/>
        <v>0</v>
      </c>
      <c r="D30" s="25">
        <f t="shared" si="0"/>
        <v>36</v>
      </c>
      <c r="E30" s="26">
        <v>0</v>
      </c>
      <c r="F30" s="26">
        <v>0</v>
      </c>
      <c r="G30" s="26">
        <v>0</v>
      </c>
      <c r="H30" s="25">
        <f t="shared" si="4"/>
        <v>11000</v>
      </c>
      <c r="I30" s="26">
        <v>0</v>
      </c>
      <c r="J30" s="26">
        <v>0</v>
      </c>
      <c r="K30" s="27">
        <f t="shared" si="5"/>
        <v>1200</v>
      </c>
      <c r="L30" s="27" t="s">
        <v>18</v>
      </c>
      <c r="M30" s="28">
        <v>1200</v>
      </c>
      <c r="N30" s="29"/>
      <c r="O30" s="25">
        <f t="shared" si="1"/>
        <v>1440</v>
      </c>
      <c r="P30" s="25">
        <f t="shared" si="2"/>
        <v>360</v>
      </c>
    </row>
    <row r="31" spans="2:16" x14ac:dyDescent="0.35">
      <c r="B31" s="30">
        <v>9</v>
      </c>
      <c r="C31" s="25">
        <f t="shared" si="3"/>
        <v>0</v>
      </c>
      <c r="D31" s="25">
        <f t="shared" si="0"/>
        <v>36</v>
      </c>
      <c r="E31" s="26">
        <v>0</v>
      </c>
      <c r="F31" s="26">
        <v>0</v>
      </c>
      <c r="G31" s="26">
        <v>0</v>
      </c>
      <c r="H31" s="25">
        <f t="shared" si="4"/>
        <v>13000</v>
      </c>
      <c r="I31" s="26">
        <v>0</v>
      </c>
      <c r="J31" s="26">
        <v>0</v>
      </c>
      <c r="K31" s="27">
        <f t="shared" si="5"/>
        <v>2000</v>
      </c>
      <c r="L31" s="27" t="s">
        <v>18</v>
      </c>
      <c r="M31" s="28">
        <v>2000</v>
      </c>
      <c r="N31" s="29"/>
      <c r="O31" s="25">
        <f t="shared" si="1"/>
        <v>1440</v>
      </c>
      <c r="P31" s="25">
        <f t="shared" si="2"/>
        <v>360</v>
      </c>
    </row>
    <row r="32" spans="2:16" x14ac:dyDescent="0.35">
      <c r="B32" s="30">
        <v>10</v>
      </c>
      <c r="C32" s="25">
        <f t="shared" si="3"/>
        <v>0</v>
      </c>
      <c r="D32" s="25">
        <f t="shared" si="0"/>
        <v>36</v>
      </c>
      <c r="E32" s="26">
        <v>0</v>
      </c>
      <c r="F32" s="26">
        <v>0</v>
      </c>
      <c r="G32" s="26">
        <v>0</v>
      </c>
      <c r="H32" s="25">
        <f t="shared" si="4"/>
        <v>15500</v>
      </c>
      <c r="I32" s="26">
        <v>0</v>
      </c>
      <c r="J32" s="26">
        <v>0</v>
      </c>
      <c r="K32" s="27">
        <f t="shared" si="5"/>
        <v>2500</v>
      </c>
      <c r="L32" s="27" t="s">
        <v>18</v>
      </c>
      <c r="M32" s="28">
        <v>2500</v>
      </c>
      <c r="N32" s="29"/>
      <c r="O32" s="25">
        <f t="shared" si="1"/>
        <v>1440</v>
      </c>
      <c r="P32" s="25">
        <f t="shared" si="2"/>
        <v>360</v>
      </c>
    </row>
    <row r="33" spans="2:19" x14ac:dyDescent="0.35">
      <c r="B33" s="30">
        <v>11</v>
      </c>
      <c r="C33" s="25">
        <f t="shared" si="3"/>
        <v>0</v>
      </c>
      <c r="D33" s="25">
        <f t="shared" si="0"/>
        <v>36</v>
      </c>
      <c r="E33" s="26">
        <v>0</v>
      </c>
      <c r="F33" s="26">
        <v>0</v>
      </c>
      <c r="G33" s="26">
        <v>0</v>
      </c>
      <c r="H33" s="25">
        <f t="shared" si="4"/>
        <v>18500</v>
      </c>
      <c r="I33" s="26">
        <v>0</v>
      </c>
      <c r="J33" s="26">
        <v>0</v>
      </c>
      <c r="K33" s="27">
        <f t="shared" si="5"/>
        <v>3000</v>
      </c>
      <c r="L33" s="27" t="s">
        <v>18</v>
      </c>
      <c r="M33" s="28">
        <v>3000</v>
      </c>
      <c r="N33" s="29"/>
      <c r="O33" s="25">
        <f t="shared" si="1"/>
        <v>1440</v>
      </c>
      <c r="P33" s="25">
        <f t="shared" si="2"/>
        <v>360</v>
      </c>
    </row>
    <row r="34" spans="2:19" x14ac:dyDescent="0.35">
      <c r="B34" s="30">
        <v>12</v>
      </c>
      <c r="C34" s="25">
        <f t="shared" si="3"/>
        <v>0</v>
      </c>
      <c r="D34" s="25">
        <f t="shared" si="0"/>
        <v>36</v>
      </c>
      <c r="E34" s="26">
        <v>0</v>
      </c>
      <c r="F34" s="26">
        <v>0</v>
      </c>
      <c r="G34" s="26">
        <v>0</v>
      </c>
      <c r="H34" s="25">
        <f t="shared" si="4"/>
        <v>21300</v>
      </c>
      <c r="I34" s="26">
        <v>0</v>
      </c>
      <c r="J34" s="26">
        <v>0</v>
      </c>
      <c r="K34" s="27">
        <f t="shared" si="5"/>
        <v>2800</v>
      </c>
      <c r="L34" s="27" t="s">
        <v>18</v>
      </c>
      <c r="M34" s="28">
        <v>2800</v>
      </c>
      <c r="N34" s="29"/>
      <c r="O34" s="25">
        <f t="shared" si="1"/>
        <v>1440</v>
      </c>
      <c r="P34" s="25">
        <f t="shared" si="2"/>
        <v>360</v>
      </c>
    </row>
    <row r="36" spans="2:19" x14ac:dyDescent="0.35">
      <c r="B36" s="31" t="s">
        <v>22</v>
      </c>
      <c r="C36" s="27">
        <f>SUM(C23:C34)</f>
        <v>0</v>
      </c>
      <c r="D36" s="27">
        <f t="shared" ref="D36:M36" si="6">SUM(D23:D34)</f>
        <v>432</v>
      </c>
      <c r="E36" s="27">
        <f t="shared" si="6"/>
        <v>0</v>
      </c>
      <c r="F36" s="27">
        <f t="shared" si="6"/>
        <v>0</v>
      </c>
      <c r="G36" s="27">
        <f t="shared" si="6"/>
        <v>0</v>
      </c>
      <c r="H36" s="27">
        <f t="shared" si="6"/>
        <v>126170</v>
      </c>
      <c r="I36" s="27">
        <f t="shared" si="6"/>
        <v>0</v>
      </c>
      <c r="J36" s="27">
        <f t="shared" si="6"/>
        <v>0</v>
      </c>
      <c r="K36" s="27"/>
      <c r="L36" s="27"/>
      <c r="M36" s="27">
        <f t="shared" si="6"/>
        <v>21800</v>
      </c>
    </row>
    <row r="39" spans="2:19" x14ac:dyDescent="0.35">
      <c r="S39" t="s">
        <v>45</v>
      </c>
    </row>
  </sheetData>
  <mergeCells count="1">
    <mergeCell ref="E1:G1"/>
  </mergeCell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1</vt:lpstr>
      <vt:lpstr>Scenario 2</vt:lpstr>
      <vt:lpstr>Scenario 3</vt:lpstr>
      <vt:lpstr>Scenario chase</vt:lpstr>
      <vt:lpstr>Scenario X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Caplice</dc:creator>
  <cp:lastModifiedBy>Student - Adheenamilagi Srihari</cp:lastModifiedBy>
  <dcterms:created xsi:type="dcterms:W3CDTF">2015-11-15T17:11:44Z</dcterms:created>
  <dcterms:modified xsi:type="dcterms:W3CDTF">2026-05-29T01:32:17Z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da1df-3fca-45c7-91be-5629a3733338_Enabled">
    <vt:lpwstr>true</vt:lpwstr>
  </property>
  <property fmtid="{D5CDD505-2E9C-101B-9397-08002B2CF9AE}" pid="3" name="MSIP_Label_f9dda1df-3fca-45c7-91be-5629a3733338_SetDate">
    <vt:lpwstr>2021-07-31T09:26:39Z</vt:lpwstr>
  </property>
  <property fmtid="{D5CDD505-2E9C-101B-9397-08002B2CF9AE}" pid="4" name="MSIP_Label_f9dda1df-3fca-45c7-91be-5629a3733338_Method">
    <vt:lpwstr>Standard</vt:lpwstr>
  </property>
  <property fmtid="{D5CDD505-2E9C-101B-9397-08002B2CF9AE}" pid="5" name="MSIP_Label_f9dda1df-3fca-45c7-91be-5629a3733338_Name">
    <vt:lpwstr>f9dda1df-3fca-45c7-91be-5629a3733338</vt:lpwstr>
  </property>
  <property fmtid="{D5CDD505-2E9C-101B-9397-08002B2CF9AE}" pid="6" name="MSIP_Label_f9dda1df-3fca-45c7-91be-5629a3733338_SiteId">
    <vt:lpwstr>ec1ca250-c234-4d56-a76b-7dfb9eee0c46</vt:lpwstr>
  </property>
  <property fmtid="{D5CDD505-2E9C-101B-9397-08002B2CF9AE}" pid="7" name="MSIP_Label_f9dda1df-3fca-45c7-91be-5629a3733338_ActionId">
    <vt:lpwstr>5064f9bf-b953-4c0c-910f-886a6e24d8a5</vt:lpwstr>
  </property>
  <property fmtid="{D5CDD505-2E9C-101B-9397-08002B2CF9AE}" pid="8" name="MSIP_Label_f9dda1df-3fca-45c7-91be-5629a3733338_ContentBits">
    <vt:lpwstr>0</vt:lpwstr>
  </property>
</Properties>
</file>